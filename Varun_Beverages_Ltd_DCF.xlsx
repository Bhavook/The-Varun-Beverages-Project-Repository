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comments1.xml" ContentType="application/vnd.openxmlformats-officedocument.spreadsheetml.comments+xml"/>
  <Override PartName="/xl/comments2.xml" ContentType="application/vnd.openxmlformats-officedocument.spreadsheetml.comments+xml"/>
  <Override PartName="/xl/comments3.xml" ContentType="application/vnd.openxmlformats-officedocument.spreadsheetml.comments+xml"/>
  <Override PartName="/xl/comments4.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417"/>
  <workbookPr/>
  <mc:AlternateContent xmlns:mc="http://schemas.openxmlformats.org/markup-compatibility/2006">
    <mc:Choice Requires="x15">
      <x15ac:absPath xmlns:x15ac="http://schemas.microsoft.com/office/spreadsheetml/2010/11/ac" url="C:\Users\BHAVOOK\Downloads\"/>
    </mc:Choice>
  </mc:AlternateContent>
  <xr:revisionPtr revIDLastSave="0" documentId="13_ncr:20001_{DA36FBEC-7C42-485A-B1F5-8925630DE2B2}" xr6:coauthVersionLast="36" xr6:coauthVersionMax="36" xr10:uidLastSave="{00000000-0000-0000-0000-000000000000}"/>
  <bookViews>
    <workbookView xWindow="0" yWindow="0" windowWidth="23040" windowHeight="8940" tabRatio="500" firstSheet="5" activeTab="10" xr2:uid="{00000000-000D-0000-FFFF-FFFF00000000}"/>
  </bookViews>
  <sheets>
    <sheet name="Cover" sheetId="1" r:id="rId1"/>
    <sheet name="Assumptions" sheetId="2" r:id="rId2"/>
    <sheet name="Income Statement Working" sheetId="3" r:id="rId3"/>
    <sheet name="Free Cash Flow Build" sheetId="4" r:id="rId4"/>
    <sheet name="Sensitivity Analysis" sheetId="5" r:id="rId5"/>
    <sheet name="Net Working Capital" sheetId="6" r:id="rId6"/>
    <sheet name="Ratios" sheetId="7" r:id="rId7"/>
    <sheet name="DuPont Analysis" sheetId="8" r:id="rId8"/>
    <sheet name="BalanceSheet" sheetId="9" r:id="rId9"/>
    <sheet name="BS" sheetId="15" r:id="rId10"/>
    <sheet name="Commonsize BS" sheetId="10" r:id="rId11"/>
    <sheet name="Income Statement" sheetId="11" r:id="rId12"/>
    <sheet name="IncomeStatement" sheetId="12" r:id="rId13"/>
    <sheet name="Commonsize IS" sheetId="13" r:id="rId14"/>
    <sheet name="Cash Flow Statement" sheetId="14" r:id="rId15"/>
    <sheet name="Altman's Z Score" sheetId="16" r:id="rId16"/>
  </sheets>
  <calcPr calcId="191029" iterateDelta="1E-4"/>
  <fileRecoveryPr repairLoad="1"/>
  <extLst>
    <ext xmlns:loext="http://schemas.libreoffice.org/" uri="{7626C862-2A13-11E5-B345-FEFF819CDC9F}">
      <loext:extCalcPr stringRefSyntax="ExcelA1"/>
    </ext>
  </extLst>
</workbook>
</file>

<file path=xl/calcChain.xml><?xml version="1.0" encoding="utf-8"?>
<calcChain xmlns="http://schemas.openxmlformats.org/spreadsheetml/2006/main">
  <c r="H25" i="16" l="1"/>
  <c r="G25" i="16"/>
  <c r="F25" i="16"/>
  <c r="E25" i="16"/>
  <c r="D25" i="16"/>
  <c r="C25" i="16"/>
  <c r="B25" i="16"/>
  <c r="H20" i="16"/>
  <c r="G20" i="16"/>
  <c r="F20" i="16"/>
  <c r="E20" i="16"/>
  <c r="D20" i="16"/>
  <c r="C20" i="16"/>
  <c r="B20" i="16"/>
  <c r="F15" i="16"/>
  <c r="D15" i="16"/>
  <c r="C15" i="16"/>
  <c r="B15" i="16"/>
  <c r="H13" i="16"/>
  <c r="H15" i="16" s="1"/>
  <c r="G13" i="16"/>
  <c r="G15" i="16" s="1"/>
  <c r="F13" i="16"/>
  <c r="E13" i="16"/>
  <c r="E15" i="16" s="1"/>
  <c r="D13" i="16"/>
  <c r="C13" i="16"/>
  <c r="B13" i="16"/>
  <c r="G10" i="16"/>
  <c r="D10" i="16"/>
  <c r="D28" i="16" s="1"/>
  <c r="B10" i="16"/>
  <c r="H8" i="16"/>
  <c r="H10" i="16" s="1"/>
  <c r="H28" i="16" s="1"/>
  <c r="G8" i="16"/>
  <c r="F8" i="16"/>
  <c r="F10" i="16" s="1"/>
  <c r="E8" i="16"/>
  <c r="E10" i="16" s="1"/>
  <c r="D8" i="16"/>
  <c r="C8" i="16"/>
  <c r="C10" i="16" s="1"/>
  <c r="B8" i="16"/>
  <c r="H5" i="16"/>
  <c r="G5" i="16"/>
  <c r="F5" i="16"/>
  <c r="F28" i="16" s="1"/>
  <c r="E5" i="16"/>
  <c r="E28" i="16" s="1"/>
  <c r="D5" i="16"/>
  <c r="C5" i="16"/>
  <c r="C28" i="16" s="1"/>
  <c r="B5" i="16"/>
  <c r="B28" i="16" s="1"/>
  <c r="M28" i="13"/>
  <c r="L28" i="13"/>
  <c r="K28" i="13"/>
  <c r="J28" i="13"/>
  <c r="I28" i="13"/>
  <c r="H28" i="13"/>
  <c r="G28" i="13"/>
  <c r="F28" i="13"/>
  <c r="E28" i="13"/>
  <c r="D28" i="13"/>
  <c r="C28" i="13"/>
  <c r="B28" i="13"/>
  <c r="M26" i="13"/>
  <c r="L26" i="13"/>
  <c r="K26" i="13"/>
  <c r="J26" i="13"/>
  <c r="I26" i="13"/>
  <c r="H26" i="13"/>
  <c r="G26" i="13"/>
  <c r="F26" i="13"/>
  <c r="E26" i="13"/>
  <c r="D26" i="13"/>
  <c r="C26" i="13"/>
  <c r="B26" i="13"/>
  <c r="M25" i="13"/>
  <c r="L25" i="13"/>
  <c r="K25" i="13"/>
  <c r="J25" i="13"/>
  <c r="I25" i="13"/>
  <c r="H25" i="13"/>
  <c r="G25" i="13"/>
  <c r="F25" i="13"/>
  <c r="E25" i="13"/>
  <c r="D25" i="13"/>
  <c r="C25" i="13"/>
  <c r="B25" i="13"/>
  <c r="M24" i="13"/>
  <c r="L24" i="13"/>
  <c r="K24" i="13"/>
  <c r="J24" i="13"/>
  <c r="I24" i="13"/>
  <c r="H24" i="13"/>
  <c r="G24" i="13"/>
  <c r="F24" i="13"/>
  <c r="E24" i="13"/>
  <c r="D24" i="13"/>
  <c r="C24" i="13"/>
  <c r="B24" i="13"/>
  <c r="M23" i="13"/>
  <c r="L23" i="13"/>
  <c r="K23" i="13"/>
  <c r="J23" i="13"/>
  <c r="I23" i="13"/>
  <c r="H23" i="13"/>
  <c r="G23" i="13"/>
  <c r="F23" i="13"/>
  <c r="E23" i="13"/>
  <c r="D23" i="13"/>
  <c r="C23" i="13"/>
  <c r="B23" i="13"/>
  <c r="M22" i="13"/>
  <c r="L22" i="13"/>
  <c r="K22" i="13"/>
  <c r="J22" i="13"/>
  <c r="I22" i="13"/>
  <c r="H22" i="13"/>
  <c r="G22" i="13"/>
  <c r="F22" i="13"/>
  <c r="E22" i="13"/>
  <c r="D22" i="13"/>
  <c r="C22" i="13"/>
  <c r="B22" i="13"/>
  <c r="M21" i="13"/>
  <c r="L21" i="13"/>
  <c r="K21" i="13"/>
  <c r="J21" i="13"/>
  <c r="I21" i="13"/>
  <c r="H21" i="13"/>
  <c r="G21" i="13"/>
  <c r="F21" i="13"/>
  <c r="E21" i="13"/>
  <c r="D21" i="13"/>
  <c r="C21" i="13"/>
  <c r="B21" i="13"/>
  <c r="M20" i="13"/>
  <c r="L20" i="13"/>
  <c r="K20" i="13"/>
  <c r="J20" i="13"/>
  <c r="I20" i="13"/>
  <c r="H20" i="13"/>
  <c r="G20" i="13"/>
  <c r="F20" i="13"/>
  <c r="E20" i="13"/>
  <c r="D20" i="13"/>
  <c r="C20" i="13"/>
  <c r="B20" i="13"/>
  <c r="M18" i="13"/>
  <c r="L18" i="13"/>
  <c r="K18" i="13"/>
  <c r="J18" i="13"/>
  <c r="I18" i="13"/>
  <c r="H18" i="13"/>
  <c r="G18" i="13"/>
  <c r="F18" i="13"/>
  <c r="E18" i="13"/>
  <c r="D18" i="13"/>
  <c r="C18" i="13"/>
  <c r="B18" i="13"/>
  <c r="M17" i="13"/>
  <c r="L17" i="13"/>
  <c r="K17" i="13"/>
  <c r="J17" i="13"/>
  <c r="I17" i="13"/>
  <c r="H17" i="13"/>
  <c r="G17" i="13"/>
  <c r="F17" i="13"/>
  <c r="E17" i="13"/>
  <c r="D17" i="13"/>
  <c r="C17" i="13"/>
  <c r="B17" i="13"/>
  <c r="M16" i="13"/>
  <c r="L16" i="13"/>
  <c r="K16" i="13"/>
  <c r="J16" i="13"/>
  <c r="I16" i="13"/>
  <c r="H16" i="13"/>
  <c r="G16" i="13"/>
  <c r="F16" i="13"/>
  <c r="E16" i="13"/>
  <c r="D16" i="13"/>
  <c r="C16" i="13"/>
  <c r="B16" i="13"/>
  <c r="M15" i="13"/>
  <c r="L15" i="13"/>
  <c r="K15" i="13"/>
  <c r="J15" i="13"/>
  <c r="I15" i="13"/>
  <c r="H15" i="13"/>
  <c r="G15" i="13"/>
  <c r="F15" i="13"/>
  <c r="E15" i="13"/>
  <c r="D15" i="13"/>
  <c r="C15" i="13"/>
  <c r="B15" i="13"/>
  <c r="M14" i="13"/>
  <c r="L14" i="13"/>
  <c r="K14" i="13"/>
  <c r="J14" i="13"/>
  <c r="I14" i="13"/>
  <c r="H14" i="13"/>
  <c r="G14" i="13"/>
  <c r="F14" i="13"/>
  <c r="E14" i="13"/>
  <c r="D14" i="13"/>
  <c r="C14" i="13"/>
  <c r="B14" i="13"/>
  <c r="M13" i="13"/>
  <c r="L13" i="13"/>
  <c r="K13" i="13"/>
  <c r="J13" i="13"/>
  <c r="I13" i="13"/>
  <c r="H13" i="13"/>
  <c r="G13" i="13"/>
  <c r="F13" i="13"/>
  <c r="E13" i="13"/>
  <c r="D13" i="13"/>
  <c r="C13" i="13"/>
  <c r="B13" i="13"/>
  <c r="M11" i="13"/>
  <c r="L11" i="13"/>
  <c r="K11" i="13"/>
  <c r="J11" i="13"/>
  <c r="I11" i="13"/>
  <c r="H11" i="13"/>
  <c r="G11" i="13"/>
  <c r="F11" i="13"/>
  <c r="E11" i="13"/>
  <c r="D11" i="13"/>
  <c r="C11" i="13"/>
  <c r="B11" i="13"/>
  <c r="M7" i="13"/>
  <c r="L7" i="13"/>
  <c r="K7" i="13"/>
  <c r="J7" i="13"/>
  <c r="I7" i="13"/>
  <c r="H7" i="13"/>
  <c r="G7" i="13"/>
  <c r="F7" i="13"/>
  <c r="E7" i="13"/>
  <c r="D7" i="13"/>
  <c r="C7" i="13"/>
  <c r="B7" i="13"/>
  <c r="M6" i="13"/>
  <c r="L6" i="13"/>
  <c r="K6" i="13"/>
  <c r="J6" i="13"/>
  <c r="I6" i="13"/>
  <c r="H6" i="13"/>
  <c r="G6" i="13"/>
  <c r="F6" i="13"/>
  <c r="E6" i="13"/>
  <c r="D6" i="13"/>
  <c r="C6" i="13"/>
  <c r="B6" i="13"/>
  <c r="M4" i="13"/>
  <c r="L4" i="13"/>
  <c r="K4" i="13"/>
  <c r="J4" i="13"/>
  <c r="I4" i="13"/>
  <c r="H4" i="13"/>
  <c r="G4" i="13"/>
  <c r="F4" i="13"/>
  <c r="E4" i="13"/>
  <c r="D4" i="13"/>
  <c r="C4" i="13"/>
  <c r="B4" i="13"/>
  <c r="M2" i="13"/>
  <c r="L2" i="13"/>
  <c r="K2" i="13"/>
  <c r="J2" i="13"/>
  <c r="I2" i="13"/>
  <c r="H2" i="13"/>
  <c r="G2" i="13"/>
  <c r="F2" i="13"/>
  <c r="E2" i="13"/>
  <c r="D2" i="13"/>
  <c r="C2" i="13"/>
  <c r="B2" i="13"/>
  <c r="I31" i="11"/>
  <c r="M30" i="11"/>
  <c r="L30" i="11"/>
  <c r="K30" i="11"/>
  <c r="J30" i="11"/>
  <c r="I30" i="11"/>
  <c r="M39" i="10"/>
  <c r="L39" i="10"/>
  <c r="K39" i="10"/>
  <c r="J39" i="10"/>
  <c r="I39" i="10"/>
  <c r="H39" i="10"/>
  <c r="G39" i="10"/>
  <c r="F39" i="10"/>
  <c r="E39" i="10"/>
  <c r="D39" i="10"/>
  <c r="C39" i="10"/>
  <c r="B39" i="10"/>
  <c r="M38" i="10"/>
  <c r="L38" i="10"/>
  <c r="K38" i="10"/>
  <c r="J38" i="10"/>
  <c r="I38" i="10"/>
  <c r="H38" i="10"/>
  <c r="G38" i="10"/>
  <c r="F38" i="10"/>
  <c r="E38" i="10"/>
  <c r="D38" i="10"/>
  <c r="C38" i="10"/>
  <c r="B38" i="10"/>
  <c r="M37" i="10"/>
  <c r="L37" i="10"/>
  <c r="K37" i="10"/>
  <c r="J37" i="10"/>
  <c r="I37" i="10"/>
  <c r="H37" i="10"/>
  <c r="G37" i="10"/>
  <c r="F37" i="10"/>
  <c r="E37" i="10"/>
  <c r="D37" i="10"/>
  <c r="C37" i="10"/>
  <c r="B37" i="10"/>
  <c r="M36" i="10"/>
  <c r="L36" i="10"/>
  <c r="K36" i="10"/>
  <c r="J36" i="10"/>
  <c r="I36" i="10"/>
  <c r="H36" i="10"/>
  <c r="G36" i="10"/>
  <c r="F36" i="10"/>
  <c r="E36" i="10"/>
  <c r="D36" i="10"/>
  <c r="C36" i="10"/>
  <c r="B36" i="10"/>
  <c r="M35" i="10"/>
  <c r="L35" i="10"/>
  <c r="K35" i="10"/>
  <c r="J35" i="10"/>
  <c r="I35" i="10"/>
  <c r="H35" i="10"/>
  <c r="G35" i="10"/>
  <c r="F35" i="10"/>
  <c r="E35" i="10"/>
  <c r="D35" i="10"/>
  <c r="C35" i="10"/>
  <c r="B35" i="10"/>
  <c r="M34" i="10"/>
  <c r="L34" i="10"/>
  <c r="K34" i="10"/>
  <c r="J34" i="10"/>
  <c r="I34" i="10"/>
  <c r="H34" i="10"/>
  <c r="G34" i="10"/>
  <c r="F34" i="10"/>
  <c r="E34" i="10"/>
  <c r="D34" i="10"/>
  <c r="C34" i="10"/>
  <c r="B34" i="10"/>
  <c r="M33" i="10"/>
  <c r="L33" i="10"/>
  <c r="K33" i="10"/>
  <c r="J33" i="10"/>
  <c r="I33" i="10"/>
  <c r="H33" i="10"/>
  <c r="G33" i="10"/>
  <c r="F33" i="10"/>
  <c r="E33" i="10"/>
  <c r="D33" i="10"/>
  <c r="C33" i="10"/>
  <c r="B33" i="10"/>
  <c r="M32" i="10"/>
  <c r="L32" i="10"/>
  <c r="K32" i="10"/>
  <c r="J32" i="10"/>
  <c r="I32" i="10"/>
  <c r="H32" i="10"/>
  <c r="G32" i="10"/>
  <c r="F32" i="10"/>
  <c r="E32" i="10"/>
  <c r="D32" i="10"/>
  <c r="C32" i="10"/>
  <c r="B32" i="10"/>
  <c r="M31" i="10"/>
  <c r="L31" i="10"/>
  <c r="K31" i="10"/>
  <c r="J31" i="10"/>
  <c r="I31" i="10"/>
  <c r="H31" i="10"/>
  <c r="G31" i="10"/>
  <c r="F31" i="10"/>
  <c r="E31" i="10"/>
  <c r="D31" i="10"/>
  <c r="C31" i="10"/>
  <c r="B31" i="10"/>
  <c r="M30" i="10"/>
  <c r="L30" i="10"/>
  <c r="K30" i="10"/>
  <c r="J30" i="10"/>
  <c r="I30" i="10"/>
  <c r="H30" i="10"/>
  <c r="G30" i="10"/>
  <c r="F30" i="10"/>
  <c r="E30" i="10"/>
  <c r="D30" i="10"/>
  <c r="C30" i="10"/>
  <c r="B30" i="10"/>
  <c r="M29" i="10"/>
  <c r="L29" i="10"/>
  <c r="K29" i="10"/>
  <c r="J29" i="10"/>
  <c r="I29" i="10"/>
  <c r="H29" i="10"/>
  <c r="G29" i="10"/>
  <c r="F29" i="10"/>
  <c r="E29" i="10"/>
  <c r="D29" i="10"/>
  <c r="C29" i="10"/>
  <c r="B29" i="10"/>
  <c r="M28" i="10"/>
  <c r="L28" i="10"/>
  <c r="K28" i="10"/>
  <c r="J28" i="10"/>
  <c r="I28" i="10"/>
  <c r="H28" i="10"/>
  <c r="G28" i="10"/>
  <c r="F28" i="10"/>
  <c r="E28" i="10"/>
  <c r="D28" i="10"/>
  <c r="C28" i="10"/>
  <c r="B28" i="10"/>
  <c r="M27" i="10"/>
  <c r="L27" i="10"/>
  <c r="K27" i="10"/>
  <c r="J27" i="10"/>
  <c r="I27" i="10"/>
  <c r="H27" i="10"/>
  <c r="G27" i="10"/>
  <c r="F27" i="10"/>
  <c r="E27" i="10"/>
  <c r="D27" i="10"/>
  <c r="C27" i="10"/>
  <c r="B27" i="10"/>
  <c r="M26" i="10"/>
  <c r="L26" i="10"/>
  <c r="K26" i="10"/>
  <c r="J26" i="10"/>
  <c r="I26" i="10"/>
  <c r="H26" i="10"/>
  <c r="G26" i="10"/>
  <c r="F26" i="10"/>
  <c r="E26" i="10"/>
  <c r="D26" i="10"/>
  <c r="C26" i="10"/>
  <c r="B26" i="10"/>
  <c r="M25" i="10"/>
  <c r="L25" i="10"/>
  <c r="K25" i="10"/>
  <c r="J25" i="10"/>
  <c r="I25" i="10"/>
  <c r="H25" i="10"/>
  <c r="G25" i="10"/>
  <c r="F25" i="10"/>
  <c r="E25" i="10"/>
  <c r="D25" i="10"/>
  <c r="C25" i="10"/>
  <c r="B25" i="10"/>
  <c r="M24" i="10"/>
  <c r="L24" i="10"/>
  <c r="K24" i="10"/>
  <c r="J24" i="10"/>
  <c r="I24" i="10"/>
  <c r="H24" i="10"/>
  <c r="G24" i="10"/>
  <c r="F24" i="10"/>
  <c r="E24" i="10"/>
  <c r="D24" i="10"/>
  <c r="C24" i="10"/>
  <c r="B24" i="10"/>
  <c r="M23" i="10"/>
  <c r="L23" i="10"/>
  <c r="K23" i="10"/>
  <c r="J23" i="10"/>
  <c r="I23" i="10"/>
  <c r="H23" i="10"/>
  <c r="G23" i="10"/>
  <c r="F23" i="10"/>
  <c r="E23" i="10"/>
  <c r="D23" i="10"/>
  <c r="C23" i="10"/>
  <c r="B23" i="10"/>
  <c r="M22" i="10"/>
  <c r="L22" i="10"/>
  <c r="K22" i="10"/>
  <c r="J22" i="10"/>
  <c r="I22" i="10"/>
  <c r="H22" i="10"/>
  <c r="G22" i="10"/>
  <c r="F22" i="10"/>
  <c r="E22" i="10"/>
  <c r="D22" i="10"/>
  <c r="C22" i="10"/>
  <c r="B22" i="10"/>
  <c r="M21" i="10"/>
  <c r="L21" i="10"/>
  <c r="K21" i="10"/>
  <c r="J21" i="10"/>
  <c r="I21" i="10"/>
  <c r="H21" i="10"/>
  <c r="G21" i="10"/>
  <c r="F21" i="10"/>
  <c r="E21" i="10"/>
  <c r="D21" i="10"/>
  <c r="C21" i="10"/>
  <c r="B21" i="10"/>
  <c r="M20" i="10"/>
  <c r="L20" i="10"/>
  <c r="K20" i="10"/>
  <c r="J20" i="10"/>
  <c r="I20" i="10"/>
  <c r="H20" i="10"/>
  <c r="G20" i="10"/>
  <c r="F20" i="10"/>
  <c r="E20" i="10"/>
  <c r="D20" i="10"/>
  <c r="C20" i="10"/>
  <c r="B20" i="10"/>
  <c r="M19" i="10"/>
  <c r="L19" i="10"/>
  <c r="K19" i="10"/>
  <c r="J19" i="10"/>
  <c r="I19" i="10"/>
  <c r="H19" i="10"/>
  <c r="G19" i="10"/>
  <c r="F19" i="10"/>
  <c r="E19" i="10"/>
  <c r="D19" i="10"/>
  <c r="C19" i="10"/>
  <c r="B19" i="10"/>
  <c r="M18" i="10"/>
  <c r="L18" i="10"/>
  <c r="K18" i="10"/>
  <c r="J18" i="10"/>
  <c r="I18" i="10"/>
  <c r="H18" i="10"/>
  <c r="G18" i="10"/>
  <c r="F18" i="10"/>
  <c r="E18" i="10"/>
  <c r="D18" i="10"/>
  <c r="C18" i="10"/>
  <c r="B18" i="10"/>
  <c r="M17" i="10"/>
  <c r="L17" i="10"/>
  <c r="K17" i="10"/>
  <c r="J17" i="10"/>
  <c r="I17" i="10"/>
  <c r="H17" i="10"/>
  <c r="G17" i="10"/>
  <c r="F17" i="10"/>
  <c r="E17" i="10"/>
  <c r="D17" i="10"/>
  <c r="C17" i="10"/>
  <c r="B17" i="10"/>
  <c r="M16" i="10"/>
  <c r="L16" i="10"/>
  <c r="K16" i="10"/>
  <c r="J16" i="10"/>
  <c r="I16" i="10"/>
  <c r="H16" i="10"/>
  <c r="G16" i="10"/>
  <c r="F16" i="10"/>
  <c r="E16" i="10"/>
  <c r="D16" i="10"/>
  <c r="C16" i="10"/>
  <c r="B16" i="10"/>
  <c r="M15" i="10"/>
  <c r="L15" i="10"/>
  <c r="K15" i="10"/>
  <c r="J15" i="10"/>
  <c r="I15" i="10"/>
  <c r="H15" i="10"/>
  <c r="G15" i="10"/>
  <c r="F15" i="10"/>
  <c r="E15" i="10"/>
  <c r="D15" i="10"/>
  <c r="C15" i="10"/>
  <c r="B15" i="10"/>
  <c r="M14" i="10"/>
  <c r="L14" i="10"/>
  <c r="K14" i="10"/>
  <c r="J14" i="10"/>
  <c r="I14" i="10"/>
  <c r="H14" i="10"/>
  <c r="G14" i="10"/>
  <c r="F14" i="10"/>
  <c r="E14" i="10"/>
  <c r="D14" i="10"/>
  <c r="C14" i="10"/>
  <c r="B14" i="10"/>
  <c r="M13" i="10"/>
  <c r="L13" i="10"/>
  <c r="K13" i="10"/>
  <c r="J13" i="10"/>
  <c r="I13" i="10"/>
  <c r="H13" i="10"/>
  <c r="G13" i="10"/>
  <c r="F13" i="10"/>
  <c r="E13" i="10"/>
  <c r="D13" i="10"/>
  <c r="C13" i="10"/>
  <c r="B13" i="10"/>
  <c r="M12" i="10"/>
  <c r="L12" i="10"/>
  <c r="K12" i="10"/>
  <c r="J12" i="10"/>
  <c r="I12" i="10"/>
  <c r="H12" i="10"/>
  <c r="G12" i="10"/>
  <c r="F12" i="10"/>
  <c r="E12" i="10"/>
  <c r="D12" i="10"/>
  <c r="C12" i="10"/>
  <c r="B12" i="10"/>
  <c r="M11" i="10"/>
  <c r="L11" i="10"/>
  <c r="K11" i="10"/>
  <c r="J11" i="10"/>
  <c r="I11" i="10"/>
  <c r="H11" i="10"/>
  <c r="G11" i="10"/>
  <c r="F11" i="10"/>
  <c r="E11" i="10"/>
  <c r="D11" i="10"/>
  <c r="C11" i="10"/>
  <c r="B11" i="10"/>
  <c r="M10" i="10"/>
  <c r="L10" i="10"/>
  <c r="K10" i="10"/>
  <c r="J10" i="10"/>
  <c r="I10" i="10"/>
  <c r="H10" i="10"/>
  <c r="G10" i="10"/>
  <c r="F10" i="10"/>
  <c r="E10" i="10"/>
  <c r="D10" i="10"/>
  <c r="C10" i="10"/>
  <c r="B10" i="10"/>
  <c r="M9" i="10"/>
  <c r="L9" i="10"/>
  <c r="K9" i="10"/>
  <c r="J9" i="10"/>
  <c r="I9" i="10"/>
  <c r="H9" i="10"/>
  <c r="G9" i="10"/>
  <c r="F9" i="10"/>
  <c r="E9" i="10"/>
  <c r="D9" i="10"/>
  <c r="C9" i="10"/>
  <c r="B9" i="10"/>
  <c r="M8" i="10"/>
  <c r="L8" i="10"/>
  <c r="K8" i="10"/>
  <c r="J8" i="10"/>
  <c r="I8" i="10"/>
  <c r="H8" i="10"/>
  <c r="G8" i="10"/>
  <c r="F8" i="10"/>
  <c r="E8" i="10"/>
  <c r="D8" i="10"/>
  <c r="C8" i="10"/>
  <c r="B8" i="10"/>
  <c r="M7" i="10"/>
  <c r="L7" i="10"/>
  <c r="K7" i="10"/>
  <c r="J7" i="10"/>
  <c r="I7" i="10"/>
  <c r="H7" i="10"/>
  <c r="G7" i="10"/>
  <c r="F7" i="10"/>
  <c r="E7" i="10"/>
  <c r="D7" i="10"/>
  <c r="C7" i="10"/>
  <c r="B7" i="10"/>
  <c r="M6" i="10"/>
  <c r="L6" i="10"/>
  <c r="K6" i="10"/>
  <c r="J6" i="10"/>
  <c r="I6" i="10"/>
  <c r="H6" i="10"/>
  <c r="G6" i="10"/>
  <c r="F6" i="10"/>
  <c r="E6" i="10"/>
  <c r="D6" i="10"/>
  <c r="C6" i="10"/>
  <c r="B6" i="10"/>
  <c r="M5" i="10"/>
  <c r="L5" i="10"/>
  <c r="K5" i="10"/>
  <c r="J5" i="10"/>
  <c r="I5" i="10"/>
  <c r="H5" i="10"/>
  <c r="G5" i="10"/>
  <c r="F5" i="10"/>
  <c r="E5" i="10"/>
  <c r="D5" i="10"/>
  <c r="C5" i="10"/>
  <c r="B5" i="10"/>
  <c r="M4" i="10"/>
  <c r="L4" i="10"/>
  <c r="K4" i="10"/>
  <c r="J4" i="10"/>
  <c r="I4" i="10"/>
  <c r="H4" i="10"/>
  <c r="G4" i="10"/>
  <c r="F4" i="10"/>
  <c r="E4" i="10"/>
  <c r="D4" i="10"/>
  <c r="C4" i="10"/>
  <c r="B4" i="10"/>
  <c r="M3" i="10"/>
  <c r="L3" i="10"/>
  <c r="K3" i="10"/>
  <c r="J3" i="10"/>
  <c r="I3" i="10"/>
  <c r="H3" i="10"/>
  <c r="G3" i="10"/>
  <c r="F3" i="10"/>
  <c r="E3" i="10"/>
  <c r="D3" i="10"/>
  <c r="C3" i="10"/>
  <c r="B3" i="10"/>
  <c r="M2" i="10"/>
  <c r="L2" i="10"/>
  <c r="K2" i="10"/>
  <c r="J2" i="10"/>
  <c r="I2" i="10"/>
  <c r="H2" i="10"/>
  <c r="G2" i="10"/>
  <c r="F2" i="10"/>
  <c r="E2" i="10"/>
  <c r="D2" i="10"/>
  <c r="C2" i="10"/>
  <c r="B2" i="10"/>
  <c r="D62" i="9"/>
  <c r="D61" i="9"/>
  <c r="D60" i="9"/>
  <c r="D59" i="9"/>
  <c r="D58" i="9"/>
  <c r="D57" i="9"/>
  <c r="D56" i="9"/>
  <c r="D55" i="9"/>
  <c r="D54" i="9"/>
  <c r="D53" i="9"/>
  <c r="E14" i="8"/>
  <c r="D14" i="8"/>
  <c r="C14" i="8"/>
  <c r="E11" i="8"/>
  <c r="D11" i="8"/>
  <c r="C11" i="8"/>
  <c r="C12" i="8" s="1"/>
  <c r="E10" i="8"/>
  <c r="D10" i="8"/>
  <c r="C10" i="8"/>
  <c r="E9" i="8"/>
  <c r="D9" i="8"/>
  <c r="D12" i="8" s="1"/>
  <c r="C9" i="8"/>
  <c r="E6" i="8"/>
  <c r="D6" i="8"/>
  <c r="C6" i="8"/>
  <c r="D5" i="8"/>
  <c r="E4" i="8"/>
  <c r="D4" i="8"/>
  <c r="C4" i="8"/>
  <c r="E3" i="8"/>
  <c r="E15" i="8" s="1"/>
  <c r="D3" i="8"/>
  <c r="C3" i="8"/>
  <c r="E2" i="8"/>
  <c r="D2" i="8"/>
  <c r="D15" i="8" s="1"/>
  <c r="C2" i="8"/>
  <c r="C15" i="8" s="1"/>
  <c r="K37" i="7"/>
  <c r="J37" i="7"/>
  <c r="I37" i="7"/>
  <c r="H37" i="7"/>
  <c r="G37" i="7"/>
  <c r="F37" i="7"/>
  <c r="E37" i="7"/>
  <c r="D37" i="7"/>
  <c r="C37" i="7"/>
  <c r="N37" i="7" s="1"/>
  <c r="B37" i="7"/>
  <c r="M37" i="7" s="1"/>
  <c r="K36" i="7"/>
  <c r="J36" i="7"/>
  <c r="I36" i="7"/>
  <c r="H36" i="7"/>
  <c r="G36" i="7"/>
  <c r="F36" i="7"/>
  <c r="E36" i="7"/>
  <c r="D36" i="7"/>
  <c r="C36" i="7"/>
  <c r="B36" i="7"/>
  <c r="N36" i="7" s="1"/>
  <c r="K35" i="7"/>
  <c r="J35" i="7"/>
  <c r="I35" i="7"/>
  <c r="H35" i="7"/>
  <c r="G35" i="7"/>
  <c r="F35" i="7"/>
  <c r="E35" i="7"/>
  <c r="D35" i="7"/>
  <c r="C35" i="7"/>
  <c r="N35" i="7" s="1"/>
  <c r="B35" i="7"/>
  <c r="M35" i="7" s="1"/>
  <c r="K32" i="7"/>
  <c r="H32" i="7"/>
  <c r="H33" i="7" s="1"/>
  <c r="F32" i="7"/>
  <c r="C32" i="7"/>
  <c r="G31" i="7"/>
  <c r="D31" i="7"/>
  <c r="B31" i="7"/>
  <c r="K30" i="7"/>
  <c r="J30" i="7"/>
  <c r="I30" i="7"/>
  <c r="I33" i="7" s="1"/>
  <c r="H30" i="7"/>
  <c r="G30" i="7"/>
  <c r="F30" i="7"/>
  <c r="F33" i="7" s="1"/>
  <c r="E30" i="7"/>
  <c r="E33" i="7" s="1"/>
  <c r="D30" i="7"/>
  <c r="D33" i="7" s="1"/>
  <c r="C30" i="7"/>
  <c r="C33" i="7" s="1"/>
  <c r="B30" i="7"/>
  <c r="M30" i="7" s="1"/>
  <c r="K28" i="7"/>
  <c r="J28" i="7"/>
  <c r="I28" i="7"/>
  <c r="H28" i="7"/>
  <c r="G28" i="7"/>
  <c r="N28" i="7" s="1"/>
  <c r="F28" i="7"/>
  <c r="E28" i="7"/>
  <c r="D28" i="7"/>
  <c r="C28" i="7"/>
  <c r="B28" i="7"/>
  <c r="M28" i="7" s="1"/>
  <c r="K27" i="7"/>
  <c r="J27" i="7"/>
  <c r="I27" i="7"/>
  <c r="H27" i="7"/>
  <c r="G27" i="7"/>
  <c r="F27" i="7"/>
  <c r="E27" i="7"/>
  <c r="D27" i="7"/>
  <c r="C27" i="7"/>
  <c r="B27" i="7"/>
  <c r="N27" i="7" s="1"/>
  <c r="K26" i="7"/>
  <c r="J26" i="7"/>
  <c r="J32" i="7" s="1"/>
  <c r="I26" i="7"/>
  <c r="I32" i="7" s="1"/>
  <c r="H26" i="7"/>
  <c r="G26" i="7"/>
  <c r="G32" i="7" s="1"/>
  <c r="G33" i="7" s="1"/>
  <c r="F26" i="7"/>
  <c r="E26" i="7"/>
  <c r="E32" i="7" s="1"/>
  <c r="D26" i="7"/>
  <c r="D32" i="7" s="1"/>
  <c r="C26" i="7"/>
  <c r="N26" i="7" s="1"/>
  <c r="B26" i="7"/>
  <c r="B32" i="7" s="1"/>
  <c r="K25" i="7"/>
  <c r="K31" i="7" s="1"/>
  <c r="J25" i="7"/>
  <c r="J31" i="7" s="1"/>
  <c r="I25" i="7"/>
  <c r="I31" i="7" s="1"/>
  <c r="H25" i="7"/>
  <c r="H31" i="7" s="1"/>
  <c r="G25" i="7"/>
  <c r="F25" i="7"/>
  <c r="F31" i="7" s="1"/>
  <c r="E25" i="7"/>
  <c r="E31" i="7" s="1"/>
  <c r="D25" i="7"/>
  <c r="C25" i="7"/>
  <c r="C31" i="7" s="1"/>
  <c r="B25" i="7"/>
  <c r="M25" i="7" s="1"/>
  <c r="K24" i="7"/>
  <c r="J24" i="7"/>
  <c r="I24" i="7"/>
  <c r="H24" i="7"/>
  <c r="G24" i="7"/>
  <c r="N24" i="7" s="1"/>
  <c r="F24" i="7"/>
  <c r="E24" i="7"/>
  <c r="D24" i="7"/>
  <c r="C24" i="7"/>
  <c r="B24" i="7"/>
  <c r="M24" i="7" s="1"/>
  <c r="K22" i="7"/>
  <c r="J22" i="7"/>
  <c r="I22" i="7"/>
  <c r="H22" i="7"/>
  <c r="G22" i="7"/>
  <c r="F22" i="7"/>
  <c r="E22" i="7"/>
  <c r="D22" i="7"/>
  <c r="C22" i="7"/>
  <c r="B22" i="7"/>
  <c r="N22" i="7" s="1"/>
  <c r="K21" i="7"/>
  <c r="J21" i="7"/>
  <c r="I21" i="7"/>
  <c r="H21" i="7"/>
  <c r="G21" i="7"/>
  <c r="F21" i="7"/>
  <c r="E21" i="7"/>
  <c r="D21" i="7"/>
  <c r="C21" i="7"/>
  <c r="N21" i="7" s="1"/>
  <c r="B21" i="7"/>
  <c r="M21" i="7" s="1"/>
  <c r="K20" i="7"/>
  <c r="J20" i="7"/>
  <c r="I20" i="7"/>
  <c r="H20" i="7"/>
  <c r="G20" i="7"/>
  <c r="F20" i="7"/>
  <c r="E20" i="7"/>
  <c r="D20" i="7"/>
  <c r="C20" i="7"/>
  <c r="N20" i="7" s="1"/>
  <c r="N19" i="7"/>
  <c r="K19" i="7"/>
  <c r="J19" i="7"/>
  <c r="I19" i="7"/>
  <c r="H19" i="7"/>
  <c r="G19" i="7"/>
  <c r="F19" i="7"/>
  <c r="M19" i="7" s="1"/>
  <c r="E19" i="7"/>
  <c r="D19" i="7"/>
  <c r="C19" i="7"/>
  <c r="B19" i="7"/>
  <c r="K17" i="7"/>
  <c r="J17" i="7"/>
  <c r="I17" i="7"/>
  <c r="H17" i="7"/>
  <c r="G17" i="7"/>
  <c r="F17" i="7"/>
  <c r="E17" i="7"/>
  <c r="D17" i="7"/>
  <c r="C17" i="7"/>
  <c r="B17" i="7"/>
  <c r="M17" i="7" s="1"/>
  <c r="K16" i="7"/>
  <c r="J16" i="7"/>
  <c r="I16" i="7"/>
  <c r="H16" i="7"/>
  <c r="G16" i="7"/>
  <c r="F16" i="7"/>
  <c r="E16" i="7"/>
  <c r="D16" i="7"/>
  <c r="N16" i="7" s="1"/>
  <c r="C16" i="7"/>
  <c r="B16" i="7"/>
  <c r="K15" i="7"/>
  <c r="J15" i="7"/>
  <c r="I15" i="7"/>
  <c r="H15" i="7"/>
  <c r="G15" i="7"/>
  <c r="F15" i="7"/>
  <c r="E15" i="7"/>
  <c r="D15" i="7"/>
  <c r="C15" i="7"/>
  <c r="B15" i="7"/>
  <c r="N15" i="7" s="1"/>
  <c r="N13" i="7"/>
  <c r="K13" i="7"/>
  <c r="J13" i="7"/>
  <c r="I13" i="7"/>
  <c r="H13" i="7"/>
  <c r="G13" i="7"/>
  <c r="F13" i="7"/>
  <c r="M13" i="7" s="1"/>
  <c r="E13" i="7"/>
  <c r="D13" i="7"/>
  <c r="C13" i="7"/>
  <c r="B13" i="7"/>
  <c r="K12" i="7"/>
  <c r="J12" i="7"/>
  <c r="I12" i="7"/>
  <c r="H12" i="7"/>
  <c r="G12" i="7"/>
  <c r="F12" i="7"/>
  <c r="E12" i="7"/>
  <c r="D12" i="7"/>
  <c r="C12" i="7"/>
  <c r="B12" i="7"/>
  <c r="M12" i="7" s="1"/>
  <c r="K11" i="7"/>
  <c r="J11" i="7"/>
  <c r="I11" i="7"/>
  <c r="H11" i="7"/>
  <c r="G11" i="7"/>
  <c r="F11" i="7"/>
  <c r="E11" i="7"/>
  <c r="D11" i="7"/>
  <c r="N11" i="7" s="1"/>
  <c r="C11" i="7"/>
  <c r="B11" i="7"/>
  <c r="K10" i="7"/>
  <c r="J10" i="7"/>
  <c r="I10" i="7"/>
  <c r="H10" i="7"/>
  <c r="G10" i="7"/>
  <c r="F10" i="7"/>
  <c r="E10" i="7"/>
  <c r="D10" i="7"/>
  <c r="C10" i="7"/>
  <c r="B10" i="7"/>
  <c r="N10" i="7" s="1"/>
  <c r="N9" i="7"/>
  <c r="K9" i="7"/>
  <c r="J9" i="7"/>
  <c r="I9" i="7"/>
  <c r="H9" i="7"/>
  <c r="G9" i="7"/>
  <c r="F9" i="7"/>
  <c r="E9" i="7"/>
  <c r="M9" i="7" s="1"/>
  <c r="D9" i="7"/>
  <c r="C9" i="7"/>
  <c r="B9" i="7"/>
  <c r="K7" i="7"/>
  <c r="J7" i="7"/>
  <c r="I7" i="7"/>
  <c r="H7" i="7"/>
  <c r="G7" i="7"/>
  <c r="F7" i="7"/>
  <c r="E7" i="7"/>
  <c r="D7" i="7"/>
  <c r="N7" i="7" s="1"/>
  <c r="C7" i="7"/>
  <c r="K6" i="7"/>
  <c r="J6" i="7"/>
  <c r="I6" i="7"/>
  <c r="H6" i="7"/>
  <c r="G6" i="7"/>
  <c r="F6" i="7"/>
  <c r="E6" i="7"/>
  <c r="D6" i="7"/>
  <c r="M6" i="7" s="1"/>
  <c r="K5" i="7"/>
  <c r="J5" i="7"/>
  <c r="I5" i="7"/>
  <c r="H5" i="7"/>
  <c r="G5" i="7"/>
  <c r="F5" i="7"/>
  <c r="N5" i="7" s="1"/>
  <c r="E5" i="7"/>
  <c r="D5" i="7"/>
  <c r="C5" i="7"/>
  <c r="M5" i="7" s="1"/>
  <c r="K4" i="7"/>
  <c r="J4" i="7"/>
  <c r="I4" i="7"/>
  <c r="H4" i="7"/>
  <c r="G4" i="7"/>
  <c r="F4" i="7"/>
  <c r="E4" i="7"/>
  <c r="D4" i="7"/>
  <c r="N4" i="7" s="1"/>
  <c r="C4" i="7"/>
  <c r="K3" i="7"/>
  <c r="J3" i="7"/>
  <c r="I3" i="7"/>
  <c r="H3" i="7"/>
  <c r="G3" i="7"/>
  <c r="F3" i="7"/>
  <c r="E3" i="7"/>
  <c r="D3" i="7"/>
  <c r="C3" i="7"/>
  <c r="M3" i="7" s="1"/>
  <c r="K2" i="7"/>
  <c r="J2" i="7"/>
  <c r="I2" i="7"/>
  <c r="H2" i="7"/>
  <c r="G2" i="7"/>
  <c r="F2" i="7"/>
  <c r="M2" i="7" s="1"/>
  <c r="E2" i="7"/>
  <c r="D2" i="7"/>
  <c r="C2" i="7"/>
  <c r="N2" i="7" s="1"/>
  <c r="D18" i="6"/>
  <c r="B23" i="2" s="1"/>
  <c r="F14" i="6"/>
  <c r="F13" i="6"/>
  <c r="F7" i="4" s="1"/>
  <c r="E13" i="6"/>
  <c r="B13" i="6"/>
  <c r="D11" i="6"/>
  <c r="D13" i="6" s="1"/>
  <c r="C11" i="6"/>
  <c r="B11" i="6"/>
  <c r="D6" i="6"/>
  <c r="C6" i="6"/>
  <c r="C13" i="6" s="1"/>
  <c r="C14" i="6" s="1"/>
  <c r="B6" i="6"/>
  <c r="D27" i="5"/>
  <c r="B21" i="5"/>
  <c r="B20" i="5"/>
  <c r="B17" i="5"/>
  <c r="B11" i="5"/>
  <c r="B10" i="5"/>
  <c r="B9" i="5"/>
  <c r="B19" i="5" s="1"/>
  <c r="B8" i="5"/>
  <c r="B18" i="5" s="1"/>
  <c r="B7" i="5"/>
  <c r="D19" i="4"/>
  <c r="D10" i="4"/>
  <c r="F6" i="4"/>
  <c r="F10" i="4" s="1"/>
  <c r="E6" i="4"/>
  <c r="E10" i="4" s="1"/>
  <c r="F5" i="4"/>
  <c r="B4" i="4"/>
  <c r="B8" i="4" s="1"/>
  <c r="D3" i="4"/>
  <c r="D4" i="4" s="1"/>
  <c r="D8" i="4" s="1"/>
  <c r="C3" i="4"/>
  <c r="C4" i="4" s="1"/>
  <c r="C8" i="4" s="1"/>
  <c r="B3" i="4"/>
  <c r="E16" i="3"/>
  <c r="D16" i="3"/>
  <c r="D15" i="3"/>
  <c r="C15" i="3"/>
  <c r="B15" i="3"/>
  <c r="F6" i="3"/>
  <c r="F14" i="3" s="1"/>
  <c r="E6" i="3"/>
  <c r="E14" i="3" s="1"/>
  <c r="D6" i="3"/>
  <c r="D8" i="3" s="1"/>
  <c r="D10" i="3" s="1"/>
  <c r="D5" i="3"/>
  <c r="C5" i="3"/>
  <c r="B5" i="3"/>
  <c r="D4" i="3"/>
  <c r="C4" i="3"/>
  <c r="C6" i="3" s="1"/>
  <c r="B4" i="3"/>
  <c r="B6" i="3" s="1"/>
  <c r="D3" i="3"/>
  <c r="C3" i="3"/>
  <c r="B3" i="3"/>
  <c r="F2" i="3"/>
  <c r="G2" i="3" s="1"/>
  <c r="E2" i="3"/>
  <c r="E5" i="4" s="1"/>
  <c r="B19" i="2"/>
  <c r="B20" i="2" s="1"/>
  <c r="B17" i="2"/>
  <c r="G6" i="4" l="1"/>
  <c r="G10" i="4" s="1"/>
  <c r="G6" i="3"/>
  <c r="G13" i="6"/>
  <c r="H2" i="3"/>
  <c r="G7" i="3"/>
  <c r="G15" i="3" s="1"/>
  <c r="G16" i="3"/>
  <c r="G5" i="4"/>
  <c r="E14" i="6"/>
  <c r="D14" i="6"/>
  <c r="D15" i="6"/>
  <c r="N31" i="7"/>
  <c r="K33" i="7"/>
  <c r="G28" i="16"/>
  <c r="N32" i="7"/>
  <c r="B33" i="7"/>
  <c r="M32" i="7"/>
  <c r="J33" i="7"/>
  <c r="B8" i="3"/>
  <c r="B10" i="3" s="1"/>
  <c r="B14" i="3"/>
  <c r="C8" i="3"/>
  <c r="C10" i="3" s="1"/>
  <c r="C14" i="3"/>
  <c r="M31" i="7"/>
  <c r="E7" i="4"/>
  <c r="B25" i="2"/>
  <c r="B26" i="2"/>
  <c r="D11" i="3"/>
  <c r="D18" i="3" s="1"/>
  <c r="D12" i="3"/>
  <c r="N3" i="7"/>
  <c r="E7" i="3"/>
  <c r="F16" i="3"/>
  <c r="M20" i="7"/>
  <c r="N6" i="7"/>
  <c r="F7" i="3"/>
  <c r="M10" i="7"/>
  <c r="M15" i="7"/>
  <c r="N25" i="7"/>
  <c r="N30" i="7"/>
  <c r="C5" i="8"/>
  <c r="E12" i="8"/>
  <c r="E5" i="8"/>
  <c r="D14" i="3"/>
  <c r="M22" i="7"/>
  <c r="M27" i="7"/>
  <c r="M7" i="7"/>
  <c r="N12" i="7"/>
  <c r="N17" i="7"/>
  <c r="M4" i="7"/>
  <c r="M26" i="7"/>
  <c r="M36" i="7"/>
  <c r="M11" i="7"/>
  <c r="M16" i="7"/>
  <c r="B28" i="2" l="1"/>
  <c r="C11" i="3"/>
  <c r="C18" i="3" s="1"/>
  <c r="C12" i="3"/>
  <c r="B11" i="3"/>
  <c r="B18" i="3" s="1"/>
  <c r="B12" i="3"/>
  <c r="H6" i="3"/>
  <c r="H6" i="4"/>
  <c r="H10" i="4" s="1"/>
  <c r="H13" i="6"/>
  <c r="I2" i="3"/>
  <c r="H7" i="3"/>
  <c r="H15" i="3" s="1"/>
  <c r="H16" i="3"/>
  <c r="H5" i="4"/>
  <c r="G7" i="4"/>
  <c r="G14" i="6"/>
  <c r="F15" i="3"/>
  <c r="F8" i="3"/>
  <c r="G14" i="3"/>
  <c r="G8" i="3"/>
  <c r="E8" i="3"/>
  <c r="E15" i="3"/>
  <c r="N33" i="7"/>
  <c r="M33" i="7"/>
  <c r="H7" i="4" l="1"/>
  <c r="H14" i="6"/>
  <c r="I13" i="6"/>
  <c r="I6" i="4"/>
  <c r="I10" i="4" s="1"/>
  <c r="I6" i="3"/>
  <c r="J2" i="3"/>
  <c r="I7" i="3"/>
  <c r="I15" i="3" s="1"/>
  <c r="I16" i="3"/>
  <c r="I5" i="4"/>
  <c r="H14" i="3"/>
  <c r="H8" i="3"/>
  <c r="E11" i="3"/>
  <c r="E13" i="3" s="1"/>
  <c r="E4" i="4"/>
  <c r="E8" i="4" s="1"/>
  <c r="G13" i="3"/>
  <c r="G4" i="4"/>
  <c r="G8" i="4" s="1"/>
  <c r="G13" i="4" s="1"/>
  <c r="G11" i="3"/>
  <c r="F11" i="3"/>
  <c r="F13" i="3" s="1"/>
  <c r="F4" i="4"/>
  <c r="F8" i="4" s="1"/>
  <c r="N12" i="4"/>
  <c r="M12" i="4"/>
  <c r="I12" i="4"/>
  <c r="H12" i="4"/>
  <c r="L12" i="4"/>
  <c r="K12" i="4"/>
  <c r="J12" i="4"/>
  <c r="G12" i="4"/>
  <c r="F12" i="4"/>
  <c r="E12" i="4"/>
  <c r="C28" i="2"/>
  <c r="C6" i="5" l="1"/>
  <c r="C16" i="5" s="1"/>
  <c r="D26" i="5"/>
  <c r="G6" i="5"/>
  <c r="G16" i="5" s="1"/>
  <c r="D6" i="5"/>
  <c r="D16" i="5" s="1"/>
  <c r="F6" i="5"/>
  <c r="F16" i="5" s="1"/>
  <c r="E6" i="5"/>
  <c r="E16" i="5" s="1"/>
  <c r="H11" i="3"/>
  <c r="H4" i="4" s="1"/>
  <c r="H8" i="4" s="1"/>
  <c r="H13" i="4" s="1"/>
  <c r="E13" i="4"/>
  <c r="I14" i="3"/>
  <c r="I8" i="3"/>
  <c r="J13" i="6"/>
  <c r="J6" i="4"/>
  <c r="J10" i="4" s="1"/>
  <c r="J6" i="3"/>
  <c r="J7" i="3"/>
  <c r="J15" i="3" s="1"/>
  <c r="K2" i="3"/>
  <c r="J16" i="3"/>
  <c r="J5" i="4"/>
  <c r="F13" i="4"/>
  <c r="I7" i="4"/>
  <c r="I14" i="6"/>
  <c r="J14" i="3" l="1"/>
  <c r="J8" i="3"/>
  <c r="J7" i="4"/>
  <c r="J14" i="6"/>
  <c r="K6" i="4"/>
  <c r="K10" i="4" s="1"/>
  <c r="K6" i="3"/>
  <c r="L2" i="3"/>
  <c r="K7" i="3"/>
  <c r="K15" i="3" s="1"/>
  <c r="K13" i="6"/>
  <c r="K16" i="3"/>
  <c r="K5" i="4"/>
  <c r="H13" i="3"/>
  <c r="I11" i="3"/>
  <c r="I4" i="4" s="1"/>
  <c r="I8" i="4" s="1"/>
  <c r="I13" i="4" s="1"/>
  <c r="K14" i="3" l="1"/>
  <c r="K8" i="3"/>
  <c r="I13" i="3"/>
  <c r="K7" i="4"/>
  <c r="K14" i="6"/>
  <c r="L6" i="4"/>
  <c r="L10" i="4" s="1"/>
  <c r="L6" i="3"/>
  <c r="L13" i="6"/>
  <c r="L16" i="3"/>
  <c r="L7" i="3"/>
  <c r="L15" i="3" s="1"/>
  <c r="M2" i="3"/>
  <c r="L5" i="4"/>
  <c r="J4" i="4"/>
  <c r="J8" i="4" s="1"/>
  <c r="J13" i="4" s="1"/>
  <c r="J11" i="3"/>
  <c r="J13" i="3"/>
  <c r="M13" i="6" l="1"/>
  <c r="N2" i="3"/>
  <c r="M7" i="3"/>
  <c r="M15" i="3" s="1"/>
  <c r="M16" i="3"/>
  <c r="M6" i="3"/>
  <c r="M5" i="4"/>
  <c r="M6" i="4"/>
  <c r="M10" i="4" s="1"/>
  <c r="L7" i="4"/>
  <c r="L14" i="6"/>
  <c r="L14" i="3"/>
  <c r="L8" i="3"/>
  <c r="K4" i="4"/>
  <c r="K8" i="4" s="1"/>
  <c r="K13" i="4" s="1"/>
  <c r="K11" i="3"/>
  <c r="K13" i="3"/>
  <c r="M14" i="6" l="1"/>
  <c r="M7" i="4"/>
  <c r="L11" i="3"/>
  <c r="L4" i="4" s="1"/>
  <c r="L8" i="4" s="1"/>
  <c r="L13" i="4" s="1"/>
  <c r="L13" i="3"/>
  <c r="M8" i="3"/>
  <c r="M14" i="3"/>
  <c r="N5" i="4"/>
  <c r="N13" i="6"/>
  <c r="N7" i="3"/>
  <c r="N15" i="3" s="1"/>
  <c r="N16" i="3"/>
  <c r="N6" i="4"/>
  <c r="N10" i="4" s="1"/>
  <c r="N6" i="3"/>
  <c r="N7" i="4" l="1"/>
  <c r="N14" i="6"/>
  <c r="M11" i="3"/>
  <c r="M4" i="4" s="1"/>
  <c r="M8" i="4" s="1"/>
  <c r="M13" i="4" s="1"/>
  <c r="M13" i="3"/>
  <c r="N8" i="3"/>
  <c r="N14" i="3"/>
  <c r="N11" i="3" l="1"/>
  <c r="N4" i="4" s="1"/>
  <c r="N8" i="4" s="1"/>
  <c r="N13" i="3"/>
  <c r="N15" i="4" l="1"/>
  <c r="N16" i="4" s="1"/>
  <c r="N13" i="4"/>
  <c r="C9" i="5"/>
  <c r="C19" i="5" s="1"/>
  <c r="G11" i="5"/>
  <c r="G21" i="5" s="1"/>
  <c r="D8" i="5"/>
  <c r="D18" i="5" s="1"/>
  <c r="G7" i="5"/>
  <c r="G17" i="5" s="1"/>
  <c r="F10" i="5"/>
  <c r="F20" i="5" s="1"/>
  <c r="E11" i="5"/>
  <c r="E21" i="5" s="1"/>
  <c r="D11" i="5"/>
  <c r="D21" i="5" s="1"/>
  <c r="F9" i="5"/>
  <c r="F19" i="5" s="1"/>
  <c r="C8" i="5"/>
  <c r="C18" i="5" s="1"/>
  <c r="D10" i="5"/>
  <c r="D20" i="5" s="1"/>
  <c r="E7" i="5"/>
  <c r="E17" i="5" s="1"/>
  <c r="G9" i="5"/>
  <c r="G19" i="5" s="1"/>
  <c r="C11" i="5"/>
  <c r="C21" i="5" s="1"/>
  <c r="G8" i="5"/>
  <c r="G18" i="5" s="1"/>
  <c r="F8" i="5"/>
  <c r="F18" i="5" s="1"/>
  <c r="G10" i="5"/>
  <c r="G20" i="5" s="1"/>
  <c r="C10" i="5"/>
  <c r="C20" i="5" s="1"/>
  <c r="F11" i="5"/>
  <c r="F21" i="5" s="1"/>
  <c r="D7" i="5"/>
  <c r="D17" i="5" s="1"/>
  <c r="C7" i="5"/>
  <c r="C17" i="5" s="1"/>
  <c r="E9" i="5"/>
  <c r="E8" i="5"/>
  <c r="E18" i="5" s="1"/>
  <c r="E10" i="5"/>
  <c r="E20" i="5" s="1"/>
  <c r="F7" i="5"/>
  <c r="F17" i="5" s="1"/>
  <c r="D9" i="5"/>
  <c r="D19" i="5" s="1"/>
  <c r="D29" i="5" l="1"/>
  <c r="E19" i="5"/>
  <c r="D31" i="5" s="1"/>
  <c r="N18" i="4"/>
  <c r="N21" i="4" s="1"/>
  <c r="N24" i="4" s="1"/>
  <c r="O28" i="4" l="1"/>
  <c r="D30" i="5" s="1"/>
  <c r="D28" i="5"/>
</calcChain>
</file>

<file path=xl/comments1.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7" authorId="0" shapeId="0" xr:uid="{00000000-0006-0000-0100-000005000000}">
      <text>
        <r>
          <rPr>
            <sz val="10"/>
            <rFont val="Arial"/>
            <family val="2"/>
          </rPr>
          <t>BHAVOOK:
This Value I assumed by reading earning calls transcript from screener, Annual reports about growth and googling info about the company present and future plans.</t>
        </r>
      </text>
    </comment>
    <comment ref="B8" authorId="0" shapeId="0" xr:uid="{00000000-0006-0000-0100-000006000000}">
      <text>
        <r>
          <rPr>
            <sz val="10"/>
            <rFont val="Arial"/>
            <family val="2"/>
          </rPr>
          <t>BHAVOOK:
This Value I assumed by reading earning calls transcript from screener, Annual reports about growth and googling info about the company present and future plans.</t>
        </r>
      </text>
    </comment>
    <comment ref="B9" authorId="0" shapeId="0" xr:uid="{00000000-0006-0000-0100-000007000000}">
      <text>
        <r>
          <rPr>
            <sz val="10"/>
            <rFont val="Arial"/>
            <family val="2"/>
          </rPr>
          <t>BHAVOOK:
This Value I assumed by reading earning calls transcript from screener, Annual reports about growth and googling info about the company present and future plans.</t>
        </r>
      </text>
    </comment>
    <comment ref="B10" authorId="0" shapeId="0" xr:uid="{00000000-0006-0000-0100-000008000000}">
      <text>
        <r>
          <rPr>
            <sz val="10"/>
            <rFont val="Arial"/>
            <family val="2"/>
          </rPr>
          <t>BHAVOOK:
This Value I assumed by reading earning calls transcript from screener, Annual reports about growth and googling info about the company present and future plans.</t>
        </r>
      </text>
    </comment>
    <comment ref="A13" authorId="0" shapeId="0" xr:uid="{00000000-0006-0000-0100-000001000000}">
      <text>
        <r>
          <rPr>
            <sz val="10"/>
            <rFont val="Arial"/>
            <family val="2"/>
          </rPr>
          <t>BHAVOOK:
current yield on the India 10-Year Government Bond is 7.03</t>
        </r>
      </text>
    </comment>
    <comment ref="A14" authorId="0" shapeId="0" xr:uid="{00000000-0006-0000-0100-000002000000}">
      <text>
        <r>
          <rPr>
            <sz val="10"/>
            <rFont val="Arial"/>
            <family val="2"/>
          </rPr>
          <t>BHAVOOK:
For the Indian market, bankers typically use an ERP of roughly 7.0%. I can hardcode this assumption. 
I benchmarked it against Aswath Damodaran's recent country risk premium datasets for India.</t>
        </r>
      </text>
    </comment>
    <comment ref="A15" authorId="0" shapeId="0" xr:uid="{00000000-0006-0000-0100-000003000000}">
      <text>
        <r>
          <rPr>
            <sz val="10"/>
            <rFont val="Arial"/>
            <family val="2"/>
          </rPr>
          <t>BHAVOOK:
Yahoo Finance, search for compnay ticker and look on the summary page for their Beta (5Y Monthly)</t>
        </r>
      </text>
    </comment>
    <comment ref="A17" authorId="0" shapeId="0" xr:uid="{00000000-0006-0000-0100-000004000000}">
      <text>
        <r>
          <rPr>
            <sz val="10"/>
            <rFont val="Arial"/>
            <family val="2"/>
          </rPr>
          <t>BHAVOOK:
K_e = R_f + [\beta \times ERP]</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B11" authorId="0" shapeId="0" xr:uid="{00000000-0006-0000-0200-000001000000}">
      <text>
        <r>
          <rPr>
            <sz val="10"/>
            <rFont val="Arial"/>
            <family val="2"/>
          </rPr>
          <t xml:space="preserve">BHAVOOK:
23%
</t>
        </r>
      </text>
    </comment>
    <comment ref="C11" authorId="0" shapeId="0" xr:uid="{00000000-0006-0000-0200-000002000000}">
      <text>
        <r>
          <rPr>
            <sz val="10"/>
            <rFont val="Arial"/>
            <family val="2"/>
          </rPr>
          <t xml:space="preserve">BHAVOOK:
23%
</t>
        </r>
      </text>
    </comment>
    <comment ref="D11" authorId="0" shapeId="0" xr:uid="{00000000-0006-0000-0200-000003000000}">
      <text>
        <r>
          <rPr>
            <sz val="10"/>
            <rFont val="Arial"/>
            <family val="2"/>
          </rPr>
          <t>BHAVOOK:
24%</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A14" authorId="0" shapeId="0" xr:uid="{00000000-0006-0000-0300-000001000000}">
      <text>
        <r>
          <rPr>
            <sz val="10"/>
            <rFont val="Arial"/>
            <family val="2"/>
          </rPr>
          <t>BHAVOOK:
This I have assumed based on my research on gdp, inflation and projected growth of countries respected to VBL</t>
        </r>
      </text>
    </comment>
    <comment ref="A15" authorId="0" shapeId="0" xr:uid="{00000000-0006-0000-0300-000002000000}">
      <text>
        <r>
          <rPr>
            <sz val="10"/>
            <rFont val="Arial"/>
            <family val="2"/>
          </rPr>
          <t xml:space="preserve">BHAVOOK:
(UFCF2030)* (1 + g)/(WACC - g)
</t>
        </r>
      </text>
    </comment>
    <comment ref="A18" authorId="0" shapeId="0" xr:uid="{00000000-0006-0000-0300-000003000000}">
      <text>
        <r>
          <rPr>
            <sz val="10"/>
            <rFont val="Arial"/>
            <family val="2"/>
          </rPr>
          <t>BHAVOOK:
Equity + Debt</t>
        </r>
      </text>
    </comment>
    <comment ref="D19" authorId="0" shapeId="0" xr:uid="{00000000-0006-0000-0300-000006000000}">
      <text>
        <r>
          <rPr>
            <sz val="10"/>
            <rFont val="Arial"/>
            <family val="2"/>
          </rPr>
          <t xml:space="preserve">BHAVOOK:
Short term borrowings + long term borrowings
</t>
        </r>
      </text>
    </comment>
    <comment ref="A21" authorId="0" shapeId="0" xr:uid="{00000000-0006-0000-0300-000004000000}">
      <text>
        <r>
          <rPr>
            <sz val="10"/>
            <rFont val="Arial"/>
            <family val="2"/>
          </rPr>
          <t>BHAVOOK:
Enterprise Value + C&amp;CE - Total Debt</t>
        </r>
      </text>
    </comment>
    <comment ref="A28" authorId="0" shapeId="0" xr:uid="{00000000-0006-0000-0300-000005000000}">
      <text>
        <r>
          <rPr>
            <sz val="10"/>
            <rFont val="Arial"/>
            <family val="2"/>
          </rPr>
          <t>BHAVOOK:
(IV- MP)/IV</t>
        </r>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Unknown Author</author>
  </authors>
  <commentList>
    <comment ref="D11" authorId="0" shapeId="0" xr:uid="{00000000-0006-0000-0500-000001000000}">
      <text>
        <r>
          <rPr>
            <sz val="10"/>
            <rFont val="Arial"/>
            <family val="2"/>
          </rPr>
          <t xml:space="preserve">BHAVOOK:
screener algo error that is why I added 1
</t>
        </r>
      </text>
    </comment>
    <comment ref="D18" authorId="0" shapeId="0" xr:uid="{00000000-0006-0000-0500-000002000000}">
      <text>
        <r>
          <rPr>
            <sz val="10"/>
            <rFont val="Arial"/>
            <family val="2"/>
          </rPr>
          <t xml:space="preserve">BHAVOOK:
Short term borrowings + long term borrowings
</t>
        </r>
      </text>
    </comment>
  </commentList>
</comments>
</file>

<file path=xl/sharedStrings.xml><?xml version="1.0" encoding="utf-8"?>
<sst xmlns="http://schemas.openxmlformats.org/spreadsheetml/2006/main" count="630" uniqueCount="462">
  <si>
    <t>VARUN BEVERAGES LIMITED</t>
  </si>
  <si>
    <t>Discounted Cash Flow (DCF) Valuation Model</t>
  </si>
  <si>
    <t>Sector:</t>
  </si>
  <si>
    <t>FMCG - Beverages</t>
  </si>
  <si>
    <t>Exchange:</t>
  </si>
  <si>
    <t>NSE (National Stock Exchange)</t>
  </si>
  <si>
    <t>Currency:</t>
  </si>
  <si>
    <t>₹ Indian Rupees (Crore)</t>
  </si>
  <si>
    <t>Fiscal Year End:</t>
  </si>
  <si>
    <t>Model Date:</t>
  </si>
  <si>
    <t>Analyst:</t>
  </si>
  <si>
    <t>Bhavook Wadhwa</t>
  </si>
  <si>
    <t>Compounded Sales Growth</t>
  </si>
  <si>
    <t>%</t>
  </si>
  <si>
    <t>10 Years:</t>
  </si>
  <si>
    <t>5 Years:</t>
  </si>
  <si>
    <t>3 Years:</t>
  </si>
  <si>
    <t>TTM:</t>
  </si>
  <si>
    <t>Operating Blocks</t>
  </si>
  <si>
    <t>Dec-26E</t>
  </si>
  <si>
    <t>Dec-27E</t>
  </si>
  <si>
    <t>Dec-28E</t>
  </si>
  <si>
    <t>Dec-29E</t>
  </si>
  <si>
    <t>Dec-30E</t>
  </si>
  <si>
    <t>Dec-31E</t>
  </si>
  <si>
    <t>Dec-32E</t>
  </si>
  <si>
    <t>Dec-33E</t>
  </si>
  <si>
    <t>Dec-34E</t>
  </si>
  <si>
    <t>Dec-35E</t>
  </si>
  <si>
    <t>Sales Growth Rate</t>
  </si>
  <si>
    <t>EBITDA Margin</t>
  </si>
  <si>
    <t>CapEx As % of Sales</t>
  </si>
  <si>
    <t>Dep. As % of Sales</t>
  </si>
  <si>
    <t>NWC As % of Sales</t>
  </si>
  <si>
    <t>WACC Assumptions</t>
  </si>
  <si>
    <t>Risk Free Rate Rf</t>
  </si>
  <si>
    <t>Equity Risk Premium (ERP)</t>
  </si>
  <si>
    <t>Beta (b)</t>
  </si>
  <si>
    <t xml:space="preserve">Cost of Equity (Ke) </t>
  </si>
  <si>
    <t xml:space="preserve">Cost of Debt (Kd) </t>
  </si>
  <si>
    <t>Pre-Tax Cost of Debt:</t>
  </si>
  <si>
    <t>Post-Tax Cost of Debt:</t>
  </si>
  <si>
    <t>Market Cap.</t>
  </si>
  <si>
    <t>Total Capital (Market Cap. + Debt)</t>
  </si>
  <si>
    <t>Weight of Equity</t>
  </si>
  <si>
    <t>Weight of Debt</t>
  </si>
  <si>
    <t>WACC</t>
  </si>
  <si>
    <t>Particulars</t>
  </si>
  <si>
    <t>Sales</t>
  </si>
  <si>
    <t>Material Cost</t>
  </si>
  <si>
    <t>Employee Cost</t>
  </si>
  <si>
    <t>Other Operating Expenses</t>
  </si>
  <si>
    <t>EBITDA</t>
  </si>
  <si>
    <t>Depreciation</t>
  </si>
  <si>
    <t>EBIT</t>
  </si>
  <si>
    <t>Interest</t>
  </si>
  <si>
    <t>PBT</t>
  </si>
  <si>
    <t>Tax</t>
  </si>
  <si>
    <t>PAT</t>
  </si>
  <si>
    <t>NOPAT</t>
  </si>
  <si>
    <t>Dep Margin</t>
  </si>
  <si>
    <t>Sales Margin</t>
  </si>
  <si>
    <t>ETR</t>
  </si>
  <si>
    <t>The Historical Anchor</t>
  </si>
  <si>
    <t>EBIT(Operations Profit)</t>
  </si>
  <si>
    <t>Less: Adjusted Tax</t>
  </si>
  <si>
    <t>Add: DEP &amp; AMT</t>
  </si>
  <si>
    <t>Less: Cap Exp</t>
  </si>
  <si>
    <t>Less: Changes in NWC</t>
  </si>
  <si>
    <t>Unlevered Free Cash Flow</t>
  </si>
  <si>
    <t>Cap Ex Margin</t>
  </si>
  <si>
    <t>Discounting Factor</t>
  </si>
  <si>
    <t>Present Value (PV) of UFCF</t>
  </si>
  <si>
    <t>Terminal Growth Rate</t>
  </si>
  <si>
    <t>Terminal Value</t>
  </si>
  <si>
    <t>Present Value (PV) of TV</t>
  </si>
  <si>
    <t>Enterprise Value</t>
  </si>
  <si>
    <t>Borrowings/Total Debt</t>
  </si>
  <si>
    <t>C&amp;CE</t>
  </si>
  <si>
    <t>Equity Value</t>
  </si>
  <si>
    <t>No. of Shares Outstanding</t>
  </si>
  <si>
    <t>Intrinsic Target Share Price</t>
  </si>
  <si>
    <t>Market Share Price (03-09-2026)</t>
  </si>
  <si>
    <t xml:space="preserve">Margin of Safety </t>
  </si>
  <si>
    <t>I focus on identifying intrinsic value with a strict emphasis on the Margin of Safety.</t>
  </si>
  <si>
    <t>Two-way sensitivity of the DCF output to the Weighted Average Cost of Capital (WACC) and the Terminal Growth Rate, built from the same unlevered free cash flows as the Free Cash Flow Build sheet.</t>
  </si>
  <si>
    <t>TABLE 1  —  INTRINSIC VALUE PER SHARE (₹)</t>
  </si>
  <si>
    <t>Terminal
Growth (g) ↓   /   WACC →</t>
  </si>
  <si>
    <t>Grid reproduces the model's DCF mechanics (PV of explicit-period UFCF + PV of Gordon-growth terminal value, net of debt, plus cash, divided by shares outstanding) for each WACC / g pair. Highlighted cell = base case; should equal 'Free Cash Flow Build'!N24.</t>
  </si>
  <si>
    <t>TABLE 2  —  MARGIN OF SAFETY  =  (INTRINSIC VALUE − MARKET PRICE) / INTRINSIC VALUE</t>
  </si>
  <si>
    <t>Negative values indicate the market price exceeds the DCF's intrinsic value (i.e. the stock screens as overvalued on that assumption pair); positive values indicate a margin of safety. Highlighted cell = base case; should equal 'Free Cash Flow Build'!O28.</t>
  </si>
  <si>
    <t>BASE-CASE CROSS-CHECK</t>
  </si>
  <si>
    <t>Model WACC</t>
  </si>
  <si>
    <t>Model Terminal Growth Rate</t>
  </si>
  <si>
    <t>Model Intrinsic Value / Share (₹)</t>
  </si>
  <si>
    <t>Sensitivity Table 1 Center Cell (₹)</t>
  </si>
  <si>
    <t>Model Margin of Safety</t>
  </si>
  <si>
    <t>Sensitivity Table 2 Center Cell</t>
  </si>
  <si>
    <t>METHODOLOGY NOTES</t>
  </si>
  <si>
    <t>1.  Both tables recompute the DCF independently for each WACC / Terminal Growth pair; they do not read the single-point output in the Free Cash Flow Build sheet, so every cell is a live, standalone valuation.</t>
  </si>
  <si>
    <t>2.  Unlevered free cash flow for FY26E–FY35E ('Free Cash Flow Build'!E8:N8) is held constant across the grid — only the discount rate and terminal growth assumption change. Operating assumptions (growth, margin, capex, NWC) are not re-sensitized here.</t>
  </si>
  <si>
    <t>3.  WACC and Terminal Growth headers are built as the model's current base-case value (Assumptions!C28 and 'Free Cash Flow Build'!O14) plus/minus 0.50 and 1.00 percentage points, so the grid re-centers automatically if the base-case assumptions on those sheets are changed.</t>
  </si>
  <si>
    <t>4.  Terminal value uses the Gordon growth formula: TV = UFCF(FY35E) × (1+g) / (WACC − g), consistent with 'Free Cash Flow Build'!N15.</t>
  </si>
  <si>
    <t>5.  Cash, debt and shares outstanding are pulled directly from 'Free Cash Flow Build'!D19, D20 and N23 and are not sensitized.</t>
  </si>
  <si>
    <t>Inventories</t>
  </si>
  <si>
    <t>Trade Receivables</t>
  </si>
  <si>
    <t>Other Asset Items</t>
  </si>
  <si>
    <t>Loan and Advances</t>
  </si>
  <si>
    <t>Total Operating Current Assets</t>
  </si>
  <si>
    <t>Trade Paybles</t>
  </si>
  <si>
    <t>Advances from Customer</t>
  </si>
  <si>
    <t>Other Liability Items</t>
  </si>
  <si>
    <t>Total Operating Current Liabilities</t>
  </si>
  <si>
    <t>Net Working Capital</t>
  </si>
  <si>
    <t>Changes in NWC</t>
  </si>
  <si>
    <t>-</t>
  </si>
  <si>
    <t>NWC Margin</t>
  </si>
  <si>
    <t>TrendLine</t>
  </si>
  <si>
    <t>Mean</t>
  </si>
  <si>
    <t>Median</t>
  </si>
  <si>
    <t>Sales Growth</t>
  </si>
  <si>
    <t>EBITDA Growth</t>
  </si>
  <si>
    <t>EBIT Growth</t>
  </si>
  <si>
    <t>Net Profit Growth</t>
  </si>
  <si>
    <t>Dividend Growth</t>
  </si>
  <si>
    <t>EBT Growth</t>
  </si>
  <si>
    <t>Net Profit Margin</t>
  </si>
  <si>
    <t>EBIDTA Margin</t>
  </si>
  <si>
    <t>EBIT Marin</t>
  </si>
  <si>
    <t>EBT Margin</t>
  </si>
  <si>
    <t>Gross Margin</t>
  </si>
  <si>
    <t>Sales Expenses % Sales</t>
  </si>
  <si>
    <t>Depreciation % Sales</t>
  </si>
  <si>
    <t>Operating Income % Sales</t>
  </si>
  <si>
    <t>Return On Capital Employeed</t>
  </si>
  <si>
    <t>Retained Earnings</t>
  </si>
  <si>
    <t>Return on Equity</t>
  </si>
  <si>
    <t>Interest Coverage Ratio</t>
  </si>
  <si>
    <t>Debt Turnover Ratio</t>
  </si>
  <si>
    <t>Credit Turnover Ratio</t>
  </si>
  <si>
    <t>Inventory Turnover Ratio</t>
  </si>
  <si>
    <t>Fixed Asset Turnover Ratio</t>
  </si>
  <si>
    <t>Capital Turnover Ratio</t>
  </si>
  <si>
    <t>Debtor Days</t>
  </si>
  <si>
    <t>Payables Days</t>
  </si>
  <si>
    <t>Inventory Days</t>
  </si>
  <si>
    <t>Cash Conversion Cycle (CCC)</t>
  </si>
  <si>
    <t>CFO/Sales</t>
  </si>
  <si>
    <t>CFO/Total Asset</t>
  </si>
  <si>
    <t>CFO/Total Debt</t>
  </si>
  <si>
    <t>Line Item</t>
  </si>
  <si>
    <t>Formula</t>
  </si>
  <si>
    <t>Net Income/Sales</t>
  </si>
  <si>
    <t>Asset Turnover Ratio</t>
  </si>
  <si>
    <t>Sales/Avergae Total Assets</t>
  </si>
  <si>
    <t>Financial Leverage Ratio</t>
  </si>
  <si>
    <t>Average Total Assets/Average Shareholder's Equity</t>
  </si>
  <si>
    <t>DuPont Analysis</t>
  </si>
  <si>
    <t>Net Profit Margin * Asset Turnover Ratio * Financail Leverage Ratio</t>
  </si>
  <si>
    <t>ROE</t>
  </si>
  <si>
    <t>Net Income/Average Shareholder's Equity</t>
  </si>
  <si>
    <t>The 5-Step DuPont</t>
  </si>
  <si>
    <t>Tax Burden</t>
  </si>
  <si>
    <t>Net Income/Profit Befor Tax</t>
  </si>
  <si>
    <t>Interest Burden</t>
  </si>
  <si>
    <t>Profit Before Tax/EBIT</t>
  </si>
  <si>
    <t>EBIT Margin</t>
  </si>
  <si>
    <t>EBIT/Sales</t>
  </si>
  <si>
    <t>Tax Burden * Interest Burden * EBIT Margin * Asset Turnover Ratio * Financial Leverage Ratio</t>
  </si>
  <si>
    <t>ROA</t>
  </si>
  <si>
    <t>Net Income/Average Total Assets</t>
  </si>
  <si>
    <t>Net Profit Margin * Assest Turnover Ratio</t>
  </si>
  <si>
    <t>Equity Capital</t>
  </si>
  <si>
    <t>Reserves</t>
  </si>
  <si>
    <t>Borrowings</t>
  </si>
  <si>
    <t>Long term Borrowings</t>
  </si>
  <si>
    <t>Short term Borrowings</t>
  </si>
  <si>
    <t>Lease Liabilities</t>
  </si>
  <si>
    <t>Preference Capital</t>
  </si>
  <si>
    <t>Other Borrowings</t>
  </si>
  <si>
    <t>Other Liabilities</t>
  </si>
  <si>
    <t>Non controlling int</t>
  </si>
  <si>
    <t>Trade Payables</t>
  </si>
  <si>
    <t>Advance from Customers</t>
  </si>
  <si>
    <t>Other liability items</t>
  </si>
  <si>
    <t>Total Liabilities</t>
  </si>
  <si>
    <t>Fixed Assets</t>
  </si>
  <si>
    <t>Land</t>
  </si>
  <si>
    <t>Building</t>
  </si>
  <si>
    <t>Plant Machinery</t>
  </si>
  <si>
    <t>Equipments</t>
  </si>
  <si>
    <t>Computers</t>
  </si>
  <si>
    <t>Furniture n fittings</t>
  </si>
  <si>
    <t>Vehicles</t>
  </si>
  <si>
    <t>Intangible Assets</t>
  </si>
  <si>
    <t>Other fixed assets</t>
  </si>
  <si>
    <t>Gross Block</t>
  </si>
  <si>
    <t>Accumulated Depreciation</t>
  </si>
  <si>
    <t>CWIP</t>
  </si>
  <si>
    <t>Investments</t>
  </si>
  <si>
    <t>Other Assets</t>
  </si>
  <si>
    <t>Trade receivables</t>
  </si>
  <si>
    <t>Receivables over 6m</t>
  </si>
  <si>
    <t>Receivables under 6m</t>
  </si>
  <si>
    <t>Prov for Doubtful</t>
  </si>
  <si>
    <t>Cash Equivalents</t>
  </si>
  <si>
    <t>Loans n Advances</t>
  </si>
  <si>
    <t>Other asset items</t>
  </si>
  <si>
    <t>Total Assets</t>
  </si>
  <si>
    <t>TTM</t>
  </si>
  <si>
    <t>Sales Growth %</t>
  </si>
  <si>
    <t>Expenses</t>
  </si>
  <si>
    <t>Material Cost %</t>
  </si>
  <si>
    <t>Raw material cost</t>
  </si>
  <si>
    <t>Change in inventory</t>
  </si>
  <si>
    <t>Manufacturing Cost %</t>
  </si>
  <si>
    <t>Employee Cost %</t>
  </si>
  <si>
    <t>Other Cost %</t>
  </si>
  <si>
    <t>Operating Profit</t>
  </si>
  <si>
    <t>OPM %</t>
  </si>
  <si>
    <t>Other Income </t>
  </si>
  <si>
    <t>Exceptional items</t>
  </si>
  <si>
    <t>Other income normal</t>
  </si>
  <si>
    <t>Profit before tax</t>
  </si>
  <si>
    <t>Tax %</t>
  </si>
  <si>
    <t>Net Profit </t>
  </si>
  <si>
    <t>Profit from Associates</t>
  </si>
  <si>
    <t>Minority share</t>
  </si>
  <si>
    <t>Exceptional items AT</t>
  </si>
  <si>
    <t>Profit excl Excep</t>
  </si>
  <si>
    <t>Profit for PE</t>
  </si>
  <si>
    <t>Profit for EPS</t>
  </si>
  <si>
    <t>Profit Growth %</t>
  </si>
  <si>
    <t>EPS in Rs</t>
  </si>
  <si>
    <t>Dividend Payout %</t>
  </si>
  <si>
    <t>Years</t>
  </si>
  <si>
    <t>Dec-16</t>
  </si>
  <si>
    <t>Dec-17</t>
  </si>
  <si>
    <t>Dec-18</t>
  </si>
  <si>
    <t>Dec-19</t>
  </si>
  <si>
    <t>Dec-20</t>
  </si>
  <si>
    <t>Dec-21</t>
  </si>
  <si>
    <t>Dec-22</t>
  </si>
  <si>
    <t>Dec-23</t>
  </si>
  <si>
    <t>Dec-24</t>
  </si>
  <si>
    <t>Dec-25</t>
  </si>
  <si>
    <t>LTM</t>
  </si>
  <si>
    <t># Income Statement</t>
  </si>
  <si>
    <t>3.69%</t>
  </si>
  <si>
    <t>27.52%</t>
  </si>
  <si>
    <t>39.65%</t>
  </si>
  <si>
    <t>-9.53%</t>
  </si>
  <si>
    <t>36.79%</t>
  </si>
  <si>
    <t>49.30%</t>
  </si>
  <si>
    <t>21.78%</t>
  </si>
  <si>
    <t>24.72%</t>
  </si>
  <si>
    <t>8.39%</t>
  </si>
  <si>
    <t>4.64%</t>
  </si>
  <si>
    <t>COGS</t>
  </si>
  <si>
    <t>COGS % Sales</t>
  </si>
  <si>
    <t>63.98%</t>
  </si>
  <si>
    <t>64.64%</t>
  </si>
  <si>
    <t>62.95%</t>
  </si>
  <si>
    <t>63.90%</t>
  </si>
  <si>
    <t>64.89%</t>
  </si>
  <si>
    <t>64.70%</t>
  </si>
  <si>
    <t>64.13%</t>
  </si>
  <si>
    <t>61.96%</t>
  </si>
  <si>
    <t>60.48%</t>
  </si>
  <si>
    <t>60.97%</t>
  </si>
  <si>
    <t>76.62%</t>
  </si>
  <si>
    <t>Gross Profit</t>
  </si>
  <si>
    <t>Gross Margins</t>
  </si>
  <si>
    <t>36.02%</t>
  </si>
  <si>
    <t>35.36%</t>
  </si>
  <si>
    <t>37.05%</t>
  </si>
  <si>
    <t>36.10%</t>
  </si>
  <si>
    <t>35.11%</t>
  </si>
  <si>
    <t>35.30%</t>
  </si>
  <si>
    <t>35.87%</t>
  </si>
  <si>
    <t>38.04%</t>
  </si>
  <si>
    <t>39.52%</t>
  </si>
  <si>
    <t>39.03%</t>
  </si>
  <si>
    <t>23.38%</t>
  </si>
  <si>
    <t>Selling &amp; General Expenses</t>
  </si>
  <si>
    <t>S&amp;G Exp % Sales</t>
  </si>
  <si>
    <t>15.06%</t>
  </si>
  <si>
    <t>14.42%</t>
  </si>
  <si>
    <t>16.76%</t>
  </si>
  <si>
    <t>15.59%</t>
  </si>
  <si>
    <t>16.28%</t>
  </si>
  <si>
    <t>16.10%</t>
  </si>
  <si>
    <t>14.14%</t>
  </si>
  <si>
    <t>14.87%</t>
  </si>
  <si>
    <t>15.44%</t>
  </si>
  <si>
    <t>15.65%</t>
  </si>
  <si>
    <t>0.00%</t>
  </si>
  <si>
    <t>EBITDA Margins</t>
  </si>
  <si>
    <t>20.97%</t>
  </si>
  <si>
    <t>20.94%</t>
  </si>
  <si>
    <t>20.29%</t>
  </si>
  <si>
    <t>20.51%</t>
  </si>
  <si>
    <t>18.84%</t>
  </si>
  <si>
    <t>19.20%</t>
  </si>
  <si>
    <t>21.73%</t>
  </si>
  <si>
    <t>23.17%</t>
  </si>
  <si>
    <t>24.08%</t>
  </si>
  <si>
    <t>Interest % Sales</t>
  </si>
  <si>
    <t>11.26%</t>
  </si>
  <si>
    <t>5.36%</t>
  </si>
  <si>
    <t>4.36%</t>
  </si>
  <si>
    <t>4.55%</t>
  </si>
  <si>
    <t>2.35%</t>
  </si>
  <si>
    <t>1.55%</t>
  </si>
  <si>
    <t>1.82%</t>
  </si>
  <si>
    <t>2.41%</t>
  </si>
  <si>
    <t>0.90%</t>
  </si>
  <si>
    <t>0.78%</t>
  </si>
  <si>
    <t>8.34%</t>
  </si>
  <si>
    <t>8.66%</t>
  </si>
  <si>
    <t>7.54%</t>
  </si>
  <si>
    <t>6.85%</t>
  </si>
  <si>
    <t>8.20%</t>
  </si>
  <si>
    <t>6.02%</t>
  </si>
  <si>
    <t>4.69%</t>
  </si>
  <si>
    <t>4.24%</t>
  </si>
  <si>
    <t>4.74%</t>
  </si>
  <si>
    <t>5.61%</t>
  </si>
  <si>
    <t>5.73%</t>
  </si>
  <si>
    <t>Earings Before Tax</t>
  </si>
  <si>
    <t>EBT % Sales</t>
  </si>
  <si>
    <t>1.36%</t>
  </si>
  <si>
    <t>6.92%</t>
  </si>
  <si>
    <t>8.38%</t>
  </si>
  <si>
    <t>9.11%</t>
  </si>
  <si>
    <t>6.09%</t>
  </si>
  <si>
    <t>10.83%</t>
  </si>
  <si>
    <t>15.50%</t>
  </si>
  <si>
    <t>17.11%</t>
  </si>
  <si>
    <t>16.93%</t>
  </si>
  <si>
    <t>16.87%</t>
  </si>
  <si>
    <t>Effective Tax Rate</t>
  </si>
  <si>
    <t>59.55%</t>
  </si>
  <si>
    <t>27.75%</t>
  </si>
  <si>
    <t>31.30%</t>
  </si>
  <si>
    <t>34.51%</t>
  </si>
  <si>
    <t>1.33%</t>
  </si>
  <si>
    <t>27.26%</t>
  </si>
  <si>
    <t>23.19%</t>
  </si>
  <si>
    <t>23.23%</t>
  </si>
  <si>
    <t>23.58%</t>
  </si>
  <si>
    <t>25.91%</t>
  </si>
  <si>
    <t>25.75%</t>
  </si>
  <si>
    <t>Net Profit</t>
  </si>
  <si>
    <t>Net Margins</t>
  </si>
  <si>
    <t>0.55%</t>
  </si>
  <si>
    <t>5.00%</t>
  </si>
  <si>
    <t>5.76%</t>
  </si>
  <si>
    <t>5.97%</t>
  </si>
  <si>
    <t>6.00%</t>
  </si>
  <si>
    <t>7.88%</t>
  </si>
  <si>
    <t>11.90%</t>
  </si>
  <si>
    <t>13.13%</t>
  </si>
  <si>
    <t>12.94%</t>
  </si>
  <si>
    <t>12.50%</t>
  </si>
  <si>
    <t>12.52%</t>
  </si>
  <si>
    <t>No of Equity Share</t>
  </si>
  <si>
    <t>EPS</t>
  </si>
  <si>
    <t>Eps Growth%</t>
  </si>
  <si>
    <t>840.21%</t>
  </si>
  <si>
    <t>46.82%</t>
  </si>
  <si>
    <t>37.29%</t>
  </si>
  <si>
    <t>-8.94%</t>
  </si>
  <si>
    <t>79.49%</t>
  </si>
  <si>
    <t>125.58%</t>
  </si>
  <si>
    <t>34.33%</t>
  </si>
  <si>
    <t>18.05%</t>
  </si>
  <si>
    <t>4.87%</t>
  </si>
  <si>
    <t>Dividend per share</t>
  </si>
  <si>
    <t>Dividend payout ratio</t>
  </si>
  <si>
    <t>22.80%</t>
  </si>
  <si>
    <t>15.53%</t>
  </si>
  <si>
    <t>16.97%</t>
  </si>
  <si>
    <t>18.63%</t>
  </si>
  <si>
    <t>15.57%</t>
  </si>
  <si>
    <t>14.50%</t>
  </si>
  <si>
    <t>15.42%</t>
  </si>
  <si>
    <t>13.06%</t>
  </si>
  <si>
    <t>18.72%</t>
  </si>
  <si>
    <t>100.00%</t>
  </si>
  <si>
    <t>77.20%</t>
  </si>
  <si>
    <t>84.47%</t>
  </si>
  <si>
    <t>83.03%</t>
  </si>
  <si>
    <t>81.37%</t>
  </si>
  <si>
    <t>84.43%</t>
  </si>
  <si>
    <t>85.50%</t>
  </si>
  <si>
    <t>84.58%</t>
  </si>
  <si>
    <t>86.94%</t>
  </si>
  <si>
    <t>81.28%</t>
  </si>
  <si>
    <t>Cash from Operating Activity</t>
  </si>
  <si>
    <t>Profit from operations</t>
  </si>
  <si>
    <t>Receivables</t>
  </si>
  <si>
    <t>Inventory</t>
  </si>
  <si>
    <t>Payables</t>
  </si>
  <si>
    <t>Loans Advances</t>
  </si>
  <si>
    <t>Other WC items</t>
  </si>
  <si>
    <t>Working capital changes</t>
  </si>
  <si>
    <t>Direct taxes</t>
  </si>
  <si>
    <t>Cash from Investing Activity</t>
  </si>
  <si>
    <t>Fixed assets purchased</t>
  </si>
  <si>
    <t>Fixed assets sold</t>
  </si>
  <si>
    <t>Investments purchased</t>
  </si>
  <si>
    <t>Investments sold</t>
  </si>
  <si>
    <t>Interest received</t>
  </si>
  <si>
    <t>Dividends received</t>
  </si>
  <si>
    <t>Investment in group cos</t>
  </si>
  <si>
    <t>Acquisition of companies</t>
  </si>
  <si>
    <t>Other investing items</t>
  </si>
  <si>
    <t>Cash from Financing Activity</t>
  </si>
  <si>
    <t>Proceeds from shares</t>
  </si>
  <si>
    <t>Proceeds from debentures</t>
  </si>
  <si>
    <t>Redemption of debentures</t>
  </si>
  <si>
    <t>Proceeds from borrowings</t>
  </si>
  <si>
    <t>Repayment of borrowings</t>
  </si>
  <si>
    <t>Interest paid fin</t>
  </si>
  <si>
    <t>Dividends paid</t>
  </si>
  <si>
    <t>Financial liabilities</t>
  </si>
  <si>
    <t>Share application money</t>
  </si>
  <si>
    <t>Application money refund</t>
  </si>
  <si>
    <t>Other financing items</t>
  </si>
  <si>
    <t>Net Cash Flow</t>
  </si>
  <si>
    <t>Free Cash Flow</t>
  </si>
  <si>
    <t>CFO/OP</t>
  </si>
  <si>
    <t># Balance Sheet</t>
  </si>
  <si>
    <t>Equity Share Capital</t>
  </si>
  <si>
    <t>Fixed Assets Net Block</t>
  </si>
  <si>
    <t>Capital Work in Progress</t>
  </si>
  <si>
    <t>Total Non Current Assets</t>
  </si>
  <si>
    <t>Cash &amp; Bank</t>
  </si>
  <si>
    <t>Total Current Assets</t>
  </si>
  <si>
    <t>Check</t>
  </si>
  <si>
    <t>TRUE</t>
  </si>
  <si>
    <t>Working Capital/Total Asset</t>
  </si>
  <si>
    <t xml:space="preserve">Working Capital </t>
  </si>
  <si>
    <t>Total Assest</t>
  </si>
  <si>
    <t>Working Capital/Total Asset (A)</t>
  </si>
  <si>
    <t>Retained Earnings/Total Asset</t>
  </si>
  <si>
    <t>Total Asset</t>
  </si>
  <si>
    <t>Retained Earnings/Total Asset (B)</t>
  </si>
  <si>
    <t>EBIT/Total Asset</t>
  </si>
  <si>
    <t xml:space="preserve">EBIT </t>
  </si>
  <si>
    <t>EBIT/Total Asset C</t>
  </si>
  <si>
    <t>Market Cap/Long Term Liabilities</t>
  </si>
  <si>
    <t>Market Cap</t>
  </si>
  <si>
    <t>Long Term Liabilities</t>
  </si>
  <si>
    <t>Market Cap/Long Term Liabilities (D)</t>
  </si>
  <si>
    <t>Sales/Total Assest</t>
  </si>
  <si>
    <t>Return on Assest E</t>
  </si>
  <si>
    <t>Altman's Z Score</t>
  </si>
  <si>
    <t>Final Score</t>
  </si>
  <si>
    <t>Financial Stability</t>
  </si>
  <si>
    <t xml:space="preserve"> Sensitivity Analysis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</si>
</sst>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mmm\-yy"/>
    <numFmt numFmtId="165" formatCode="0.0%"/>
    <numFmt numFmtId="166" formatCode="\₹#,##0.0"/>
    <numFmt numFmtId="167" formatCode="0.0%;\(0.0%\)"/>
  </numFmts>
  <fonts count="24" x14ac:knownFonts="1">
    <font>
      <sz val="11"/>
      <color theme="1"/>
      <name val="Calibri"/>
      <family val="2"/>
      <charset val="1"/>
    </font>
    <font>
      <sz val="10"/>
      <name val="Arial"/>
      <family val="2"/>
    </font>
    <font>
      <b/>
      <sz val="28"/>
      <color rgb="FFFFFFFF"/>
      <name val="Calibri"/>
      <family val="2"/>
      <charset val="1"/>
    </font>
    <font>
      <b/>
      <sz val="16"/>
      <color rgb="FFFFC000"/>
      <name val="Calibri"/>
      <family val="2"/>
      <charset val="1"/>
    </font>
    <font>
      <b/>
      <sz val="10"/>
      <color rgb="FF000000"/>
      <name val="Calibri"/>
      <family val="2"/>
      <charset val="1"/>
    </font>
    <font>
      <sz val="10"/>
      <color rgb="FF0070C0"/>
      <name val="Calibri"/>
      <family val="2"/>
      <charset val="1"/>
    </font>
    <font>
      <sz val="11"/>
      <color rgb="FF22222F"/>
      <name val="Arial"/>
      <family val="2"/>
      <charset val="1"/>
    </font>
    <font>
      <sz val="11"/>
      <color rgb="FF606F7B"/>
      <name val="Arial"/>
      <family val="2"/>
      <charset val="1"/>
    </font>
    <font>
      <b/>
      <sz val="11"/>
      <color rgb="FF9C5700"/>
      <name val="Calibri"/>
      <family val="2"/>
      <charset val="1"/>
    </font>
    <font>
      <sz val="11"/>
      <color rgb="FF9C5700"/>
      <name val="Calibri"/>
      <family val="2"/>
      <charset val="1"/>
    </font>
    <font>
      <sz val="11"/>
      <color theme="4"/>
      <name val="Calibri"/>
      <family val="2"/>
      <charset val="1"/>
    </font>
    <font>
      <b/>
      <i/>
      <sz val="11"/>
      <color theme="1"/>
      <name val="Calibri"/>
      <family val="2"/>
      <charset val="1"/>
    </font>
    <font>
      <b/>
      <sz val="11"/>
      <color theme="1"/>
      <name val="Calibri"/>
      <family val="2"/>
      <charset val="1"/>
    </font>
    <font>
      <sz val="9"/>
      <color theme="4"/>
      <name val="Arial"/>
      <family val="2"/>
      <charset val="1"/>
    </font>
    <font>
      <b/>
      <sz val="16"/>
      <color rgb="FF1F3864"/>
      <name val="Calibri"/>
      <family val="2"/>
    </font>
    <font>
      <b/>
      <sz val="11"/>
      <color rgb="FF9C5700"/>
      <name val="Calibri"/>
      <family val="2"/>
    </font>
    <font>
      <b/>
      <sz val="11"/>
      <color rgb="FF0000FF"/>
      <name val="Calibri"/>
      <family val="2"/>
    </font>
    <font>
      <sz val="11"/>
      <color rgb="FF22222F"/>
      <name val="Calibri"/>
      <family val="2"/>
    </font>
    <font>
      <b/>
      <sz val="11"/>
      <color rgb="FF22222F"/>
      <name val="Calibri"/>
      <family val="2"/>
    </font>
    <font>
      <b/>
      <sz val="11"/>
      <color rgb="FFFA7D00"/>
      <name val="Calibri"/>
      <family val="2"/>
      <charset val="1"/>
    </font>
    <font>
      <b/>
      <sz val="11"/>
      <color rgb="FF22222F"/>
      <name val="Arial"/>
      <family val="2"/>
      <charset val="1"/>
    </font>
    <font>
      <b/>
      <sz val="11"/>
      <name val="Calibri"/>
      <family val="2"/>
      <charset val="1"/>
    </font>
    <font>
      <sz val="11"/>
      <color theme="1"/>
      <name val="Calibri"/>
      <family val="2"/>
      <charset val="1"/>
    </font>
    <font>
      <b/>
      <sz val="11"/>
      <color theme="1"/>
      <name val="Calibri"/>
      <family val="2"/>
    </font>
  </fonts>
  <fills count="10">
    <fill>
      <patternFill patternType="none"/>
    </fill>
    <fill>
      <patternFill patternType="gray125"/>
    </fill>
    <fill>
      <patternFill patternType="solid">
        <fgColor rgb="FFFFEB9C"/>
        <bgColor rgb="FFFDE9D9"/>
      </patternFill>
    </fill>
    <fill>
      <patternFill patternType="solid">
        <fgColor rgb="FFF2F2F2"/>
        <bgColor rgb="FFF8F8FC"/>
      </patternFill>
    </fill>
    <fill>
      <patternFill patternType="solid">
        <fgColor rgb="FF1F3864"/>
        <bgColor rgb="FF22222F"/>
      </patternFill>
    </fill>
    <fill>
      <patternFill patternType="solid">
        <fgColor rgb="FF2F5496"/>
        <bgColor rgb="FF1F3864"/>
      </patternFill>
    </fill>
    <fill>
      <patternFill patternType="solid">
        <fgColor rgb="FFFFFFFF"/>
        <bgColor rgb="FFF8F8FC"/>
      </patternFill>
    </fill>
    <fill>
      <patternFill patternType="solid">
        <fgColor rgb="FFFDE9D9"/>
        <bgColor rgb="FFF2F2F2"/>
      </patternFill>
    </fill>
    <fill>
      <patternFill patternType="solid">
        <fgColor rgb="FFF8F8FC"/>
        <bgColor rgb="FFF2F2F2"/>
      </patternFill>
    </fill>
    <fill>
      <patternFill patternType="solid">
        <fgColor rgb="FFFFFF00"/>
        <bgColor indexed="64"/>
      </patternFill>
    </fill>
  </fills>
  <borders count="7">
    <border>
      <left/>
      <right/>
      <top/>
      <bottom/>
      <diagonal/>
    </border>
    <border>
      <left style="thin">
        <color rgb="FF7F7F7F"/>
      </left>
      <right style="thin">
        <color rgb="FF7F7F7F"/>
      </right>
      <top style="thin">
        <color rgb="FF7F7F7F"/>
      </top>
      <bottom style="thin">
        <color rgb="FF7F7F7F"/>
      </bottom>
      <diagonal/>
    </border>
    <border>
      <left style="thin">
        <color rgb="FFBFBFBF"/>
      </left>
      <right style="thin">
        <color rgb="FFBFBFBF"/>
      </right>
      <top style="thin">
        <color rgb="FFBFBFBF"/>
      </top>
      <bottom style="thin">
        <color rgb="FFBFBFBF"/>
      </bottom>
      <diagonal/>
    </border>
    <border>
      <left style="medium">
        <color rgb="FF1F3864"/>
      </left>
      <right style="medium">
        <color rgb="FF1F3864"/>
      </right>
      <top style="medium">
        <color rgb="FF1F3864"/>
      </top>
      <bottom style="medium">
        <color rgb="FF1F3864"/>
      </bottom>
      <diagonal/>
    </border>
    <border>
      <left/>
      <right/>
      <top/>
      <bottom style="medium">
        <color rgb="FFDBE4F0"/>
      </bottom>
      <diagonal/>
    </border>
    <border>
      <left/>
      <right/>
      <top style="medium">
        <color rgb="FFDBE4F0"/>
      </top>
      <bottom/>
      <diagonal/>
    </border>
    <border>
      <left style="thin">
        <color indexed="64"/>
      </left>
      <right style="thin">
        <color indexed="64"/>
      </right>
      <top style="thin">
        <color indexed="64"/>
      </top>
      <bottom style="thin">
        <color indexed="64"/>
      </bottom>
      <diagonal/>
    </border>
  </borders>
  <cellStyleXfs count="4">
    <xf numFmtId="0" fontId="0" fillId="0" borderId="0"/>
    <xf numFmtId="9" fontId="22" fillId="0" borderId="0"/>
    <xf numFmtId="0" fontId="9" fillId="2" borderId="0"/>
    <xf numFmtId="0" fontId="19" fillId="3" borderId="1"/>
  </cellStyleXfs>
  <cellXfs count="80">
    <xf numFmtId="0" fontId="0" fillId="0" borderId="0" xfId="0"/>
    <xf numFmtId="0" fontId="0" fillId="0" borderId="0" xfId="0" applyFont="1" applyBorder="1" applyAlignment="1">
      <alignment horizontal="center"/>
    </xf>
    <xf numFmtId="0" fontId="12" fillId="0" borderId="0" xfId="0" applyFont="1" applyBorder="1" applyAlignment="1">
      <alignment horizontal="center"/>
    </xf>
    <xf numFmtId="0" fontId="15" fillId="2" borderId="0" xfId="0" applyFont="1" applyFill="1" applyBorder="1" applyAlignment="1">
      <alignment horizontal="left" vertical="center"/>
    </xf>
    <xf numFmtId="0" fontId="14" fillId="0" borderId="0" xfId="0" applyFont="1" applyBorder="1" applyAlignment="1">
      <alignment horizontal="left" vertical="center"/>
    </xf>
    <xf numFmtId="0" fontId="8" fillId="2" borderId="0" xfId="2" applyFont="1" applyBorder="1" applyAlignment="1">
      <alignment horizontal="center"/>
    </xf>
    <xf numFmtId="0" fontId="3" fillId="5" borderId="0" xfId="0" applyFont="1" applyFill="1" applyBorder="1" applyAlignment="1">
      <alignment horizontal="center" vertical="center" wrapText="1"/>
    </xf>
    <xf numFmtId="0" fontId="2" fillId="4" borderId="0" xfId="0" applyFont="1" applyFill="1" applyBorder="1" applyAlignment="1">
      <alignment horizontal="center" vertical="center" wrapText="1"/>
    </xf>
    <xf numFmtId="0" fontId="0" fillId="0" borderId="0" xfId="0" applyFont="1"/>
    <xf numFmtId="0" fontId="5" fillId="0" borderId="0" xfId="0" applyFont="1" applyAlignment="1">
      <alignment vertical="center"/>
    </xf>
    <xf numFmtId="0" fontId="6" fillId="6" borderId="0" xfId="0" applyFont="1" applyFill="1" applyAlignment="1">
      <alignment horizontal="left" vertical="center" wrapText="1"/>
    </xf>
    <xf numFmtId="0" fontId="6" fillId="6" borderId="0" xfId="0" applyFont="1" applyFill="1" applyAlignment="1">
      <alignment horizontal="center" vertical="center" wrapText="1"/>
    </xf>
    <xf numFmtId="0" fontId="7" fillId="6" borderId="0" xfId="0" applyFont="1" applyFill="1" applyAlignment="1">
      <alignment horizontal="left" vertical="center" wrapText="1"/>
    </xf>
    <xf numFmtId="9" fontId="6" fillId="6" borderId="0" xfId="0" applyNumberFormat="1" applyFont="1" applyFill="1" applyAlignment="1">
      <alignment horizontal="right" vertical="center" wrapText="1"/>
    </xf>
    <xf numFmtId="164" fontId="8" fillId="2" borderId="0" xfId="2" applyNumberFormat="1" applyFont="1"/>
    <xf numFmtId="10" fontId="10" fillId="0" borderId="0" xfId="0" applyNumberFormat="1" applyFont="1"/>
    <xf numFmtId="165" fontId="0" fillId="0" borderId="0" xfId="1" applyNumberFormat="1" applyFont="1"/>
    <xf numFmtId="9" fontId="10" fillId="0" borderId="0" xfId="0" applyNumberFormat="1" applyFont="1"/>
    <xf numFmtId="0" fontId="11" fillId="0" borderId="0" xfId="0" applyFont="1"/>
    <xf numFmtId="1" fontId="0" fillId="0" borderId="0" xfId="1" applyNumberFormat="1" applyFont="1"/>
    <xf numFmtId="0" fontId="10" fillId="0" borderId="0" xfId="0" applyFont="1"/>
    <xf numFmtId="0" fontId="12" fillId="0" borderId="0" xfId="0" applyFont="1"/>
    <xf numFmtId="0" fontId="13" fillId="0" borderId="0" xfId="0" applyFont="1"/>
    <xf numFmtId="0" fontId="8" fillId="2" borderId="0" xfId="2" applyFont="1"/>
    <xf numFmtId="0" fontId="0" fillId="0" borderId="0" xfId="0"/>
    <xf numFmtId="10" fontId="16" fillId="3" borderId="2" xfId="0" applyNumberFormat="1" applyFont="1" applyFill="1" applyBorder="1" applyAlignment="1">
      <alignment horizontal="center" vertical="center" wrapText="1"/>
    </xf>
    <xf numFmtId="166" fontId="17" fillId="0" borderId="2" xfId="0" applyNumberFormat="1" applyFont="1" applyBorder="1" applyAlignment="1">
      <alignment horizontal="center" vertical="center" wrapText="1"/>
    </xf>
    <xf numFmtId="166" fontId="18" fillId="7" borderId="3" xfId="0" applyNumberFormat="1" applyFont="1" applyFill="1" applyBorder="1" applyAlignment="1">
      <alignment horizontal="center" vertical="center" wrapText="1"/>
    </xf>
    <xf numFmtId="167" fontId="17" fillId="0" borderId="2" xfId="0" applyNumberFormat="1" applyFont="1" applyBorder="1" applyAlignment="1">
      <alignment horizontal="center" vertical="center" wrapText="1"/>
    </xf>
    <xf numFmtId="167" fontId="18" fillId="7" borderId="3" xfId="0" applyNumberFormat="1" applyFont="1" applyFill="1" applyBorder="1" applyAlignment="1">
      <alignment horizontal="center" vertical="center" wrapText="1"/>
    </xf>
    <xf numFmtId="0" fontId="18" fillId="0" borderId="0" xfId="0" applyFont="1" applyAlignment="1">
      <alignment horizontal="left" vertical="center"/>
    </xf>
    <xf numFmtId="10" fontId="17" fillId="0" borderId="0" xfId="0" applyNumberFormat="1" applyFont="1" applyAlignment="1">
      <alignment horizontal="right" vertical="center"/>
    </xf>
    <xf numFmtId="166" fontId="17" fillId="0" borderId="0" xfId="0" applyNumberFormat="1" applyFont="1" applyAlignment="1">
      <alignment horizontal="right" vertical="center"/>
    </xf>
    <xf numFmtId="167" fontId="17" fillId="0" borderId="0" xfId="0" applyNumberFormat="1" applyFont="1" applyAlignment="1">
      <alignment horizontal="right" vertical="center"/>
    </xf>
    <xf numFmtId="0" fontId="12" fillId="0" borderId="0" xfId="0" applyFont="1" applyAlignment="1">
      <alignment horizontal="right"/>
    </xf>
    <xf numFmtId="164" fontId="19" fillId="3" borderId="1" xfId="3" applyNumberFormat="1" applyFont="1" applyBorder="1" applyAlignment="1">
      <alignment horizontal="right" vertical="center" wrapText="1"/>
    </xf>
    <xf numFmtId="0" fontId="19" fillId="3" borderId="1" xfId="3" applyFont="1" applyBorder="1"/>
    <xf numFmtId="10" fontId="0" fillId="0" borderId="0" xfId="0" applyNumberFormat="1" applyFont="1"/>
    <xf numFmtId="0" fontId="0" fillId="0" borderId="0" xfId="0" applyFont="1" applyAlignment="1">
      <alignment horizontal="right"/>
    </xf>
    <xf numFmtId="2" fontId="0" fillId="0" borderId="0" xfId="0" applyNumberFormat="1" applyFont="1"/>
    <xf numFmtId="1" fontId="0" fillId="0" borderId="0" xfId="0" applyNumberFormat="1" applyFont="1"/>
    <xf numFmtId="9" fontId="0" fillId="0" borderId="0" xfId="1" applyFont="1"/>
    <xf numFmtId="9" fontId="0" fillId="0" borderId="0" xfId="0" applyNumberFormat="1" applyFont="1"/>
    <xf numFmtId="164" fontId="7" fillId="6" borderId="4" xfId="0" applyNumberFormat="1" applyFont="1" applyFill="1" applyBorder="1" applyAlignment="1">
      <alignment horizontal="right" vertical="center" wrapText="1"/>
    </xf>
    <xf numFmtId="0" fontId="6" fillId="8" borderId="0" xfId="0" applyFont="1" applyFill="1" applyAlignment="1">
      <alignment horizontal="left" vertical="center" indent="2"/>
    </xf>
    <xf numFmtId="0" fontId="6" fillId="8" borderId="0" xfId="0" applyFont="1" applyFill="1" applyAlignment="1">
      <alignment horizontal="right" vertical="center" wrapText="1"/>
    </xf>
    <xf numFmtId="0" fontId="6" fillId="6" borderId="0" xfId="0" applyFont="1" applyFill="1" applyAlignment="1">
      <alignment horizontal="left" vertical="center" indent="2"/>
    </xf>
    <xf numFmtId="0" fontId="6" fillId="6" borderId="0" xfId="0" applyFont="1" applyFill="1" applyAlignment="1">
      <alignment horizontal="right" vertical="center" wrapText="1"/>
    </xf>
    <xf numFmtId="3" fontId="6" fillId="6" borderId="0" xfId="0" applyNumberFormat="1" applyFont="1" applyFill="1" applyAlignment="1">
      <alignment horizontal="right" vertical="center" wrapText="1"/>
    </xf>
    <xf numFmtId="0" fontId="6" fillId="8" borderId="5" xfId="0" applyFont="1" applyFill="1" applyBorder="1" applyAlignment="1">
      <alignment horizontal="left" vertical="center" indent="2"/>
    </xf>
    <xf numFmtId="3" fontId="6" fillId="8" borderId="5" xfId="0" applyNumberFormat="1" applyFont="1" applyFill="1" applyBorder="1" applyAlignment="1">
      <alignment horizontal="right" vertical="center" wrapText="1"/>
    </xf>
    <xf numFmtId="0" fontId="6" fillId="8" borderId="0" xfId="0" applyFont="1" applyFill="1" applyAlignment="1">
      <alignment horizontal="left" vertical="center"/>
    </xf>
    <xf numFmtId="3" fontId="6" fillId="8" borderId="0" xfId="0" applyNumberFormat="1" applyFont="1" applyFill="1" applyAlignment="1">
      <alignment horizontal="right" vertical="center" wrapText="1"/>
    </xf>
    <xf numFmtId="0" fontId="6" fillId="6" borderId="5" xfId="0" applyFont="1" applyFill="1" applyBorder="1" applyAlignment="1">
      <alignment horizontal="left" vertical="center" indent="2"/>
    </xf>
    <xf numFmtId="0" fontId="6" fillId="6" borderId="5" xfId="0" applyFont="1" applyFill="1" applyBorder="1" applyAlignment="1">
      <alignment horizontal="right" vertical="center" wrapText="1"/>
    </xf>
    <xf numFmtId="3" fontId="6" fillId="6" borderId="5" xfId="0" applyNumberFormat="1" applyFont="1" applyFill="1" applyBorder="1" applyAlignment="1">
      <alignment horizontal="right" vertical="center" wrapText="1"/>
    </xf>
    <xf numFmtId="0" fontId="6" fillId="6" borderId="0" xfId="0" applyFont="1" applyFill="1" applyAlignment="1">
      <alignment horizontal="left" vertical="center"/>
    </xf>
    <xf numFmtId="0" fontId="6" fillId="6" borderId="5" xfId="0" applyFont="1" applyFill="1" applyBorder="1" applyAlignment="1">
      <alignment horizontal="left" vertical="center"/>
    </xf>
    <xf numFmtId="0" fontId="6" fillId="8" borderId="5" xfId="0" applyFont="1" applyFill="1" applyBorder="1" applyAlignment="1">
      <alignment horizontal="right" vertical="center" wrapText="1"/>
    </xf>
    <xf numFmtId="0" fontId="6" fillId="8" borderId="5" xfId="0" applyFont="1" applyFill="1" applyBorder="1" applyAlignment="1">
      <alignment horizontal="left" vertical="center"/>
    </xf>
    <xf numFmtId="0" fontId="20" fillId="8" borderId="0" xfId="0" applyFont="1" applyFill="1" applyAlignment="1">
      <alignment horizontal="left" vertical="center"/>
    </xf>
    <xf numFmtId="0" fontId="7" fillId="6" borderId="4" xfId="0" applyFont="1" applyFill="1" applyBorder="1" applyAlignment="1">
      <alignment horizontal="left" vertical="center" indent="2"/>
    </xf>
    <xf numFmtId="0" fontId="7" fillId="6" borderId="4" xfId="0" applyFont="1" applyFill="1" applyBorder="1" applyAlignment="1">
      <alignment horizontal="right" vertical="center" wrapText="1"/>
    </xf>
    <xf numFmtId="10" fontId="6" fillId="8" borderId="0" xfId="0" applyNumberFormat="1" applyFont="1" applyFill="1" applyAlignment="1">
      <alignment horizontal="right" vertical="center" wrapText="1"/>
    </xf>
    <xf numFmtId="10" fontId="6" fillId="6" borderId="5" xfId="0" applyNumberFormat="1" applyFont="1" applyFill="1" applyBorder="1" applyAlignment="1">
      <alignment horizontal="right" vertical="center" wrapText="1"/>
    </xf>
    <xf numFmtId="10" fontId="6" fillId="6" borderId="0" xfId="0" applyNumberFormat="1" applyFont="1" applyFill="1" applyAlignment="1">
      <alignment horizontal="right" vertical="center" wrapText="1"/>
    </xf>
    <xf numFmtId="9" fontId="6" fillId="8" borderId="0" xfId="0" applyNumberFormat="1" applyFont="1" applyFill="1" applyAlignment="1">
      <alignment horizontal="right" vertical="center" wrapText="1"/>
    </xf>
    <xf numFmtId="0" fontId="21" fillId="0" borderId="0" xfId="0" applyFont="1"/>
    <xf numFmtId="0" fontId="7" fillId="8" borderId="0" xfId="0" applyFont="1" applyFill="1" applyAlignment="1">
      <alignment horizontal="left" vertical="center" indent="2"/>
    </xf>
    <xf numFmtId="0" fontId="7" fillId="8" borderId="0" xfId="0" applyFont="1" applyFill="1" applyAlignment="1">
      <alignment horizontal="right" vertical="center" wrapText="1"/>
    </xf>
    <xf numFmtId="0" fontId="7" fillId="6" borderId="0" xfId="0" applyFont="1" applyFill="1" applyAlignment="1">
      <alignment horizontal="left" vertical="center" indent="2"/>
    </xf>
    <xf numFmtId="9" fontId="7" fillId="6" borderId="0" xfId="0" applyNumberFormat="1" applyFont="1" applyFill="1" applyAlignment="1">
      <alignment horizontal="right" vertical="center" wrapText="1"/>
    </xf>
    <xf numFmtId="0" fontId="21" fillId="0" borderId="0" xfId="0" applyFont="1" applyAlignment="1">
      <alignment horizontal="right"/>
    </xf>
    <xf numFmtId="0" fontId="23" fillId="0" borderId="0" xfId="0" applyFont="1"/>
    <xf numFmtId="0" fontId="23" fillId="0" borderId="0" xfId="0" applyFont="1"/>
    <xf numFmtId="0" fontId="15" fillId="2" borderId="0" xfId="2" applyFont="1"/>
    <xf numFmtId="0" fontId="4" fillId="9" borderId="6" xfId="0" applyFont="1" applyFill="1" applyBorder="1" applyAlignment="1">
      <alignment horizontal="left" vertical="center"/>
    </xf>
    <xf numFmtId="0" fontId="0" fillId="9" borderId="6" xfId="0" applyFont="1" applyFill="1" applyBorder="1"/>
    <xf numFmtId="164" fontId="0" fillId="9" borderId="6" xfId="0" applyNumberFormat="1" applyFont="1" applyFill="1" applyBorder="1" applyAlignment="1">
      <alignment horizontal="left"/>
    </xf>
    <xf numFmtId="0" fontId="0" fillId="9" borderId="6" xfId="0" applyFont="1" applyFill="1" applyBorder="1" applyAlignment="1">
      <alignment horizontal="left"/>
    </xf>
  </cellXfs>
  <cellStyles count="4">
    <cellStyle name="Excel Built-in Calculation" xfId="3" xr:uid="{00000000-0005-0000-0000-000007000000}"/>
    <cellStyle name="Excel Built-in Neutral" xfId="2" xr:uid="{00000000-0005-0000-0000-000006000000}"/>
    <cellStyle name="Normal" xfId="0" builtinId="0"/>
    <cellStyle name="Percent" xfId="1" builtinId="5"/>
  </cellStyles>
  <dxfs count="0"/>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595959"/>
      <rgbColor rgb="FFF8F8FC"/>
      <rgbColor rgb="FFF2F2F2"/>
      <rgbColor rgb="FF660066"/>
      <rgbColor rgb="FFFF8080"/>
      <rgbColor rgb="FF0070C0"/>
      <rgbColor rgb="FFDBE4F0"/>
      <rgbColor rgb="FF000080"/>
      <rgbColor rgb="FFFF00FF"/>
      <rgbColor rgb="FFFFFF00"/>
      <rgbColor rgb="FF00FFFF"/>
      <rgbColor rgb="FF800080"/>
      <rgbColor rgb="FF800000"/>
      <rgbColor rgb="FF008080"/>
      <rgbColor rgb="FF0000FF"/>
      <rgbColor rgb="FF00CCFF"/>
      <rgbColor rgb="FFCCFFFF"/>
      <rgbColor rgb="FFCCFFCC"/>
      <rgbColor rgb="FFFFEB9C"/>
      <rgbColor rgb="FF99CCFF"/>
      <rgbColor rgb="FFFF99CC"/>
      <rgbColor rgb="FFCC99FF"/>
      <rgbColor rgb="FFFDE9D9"/>
      <rgbColor rgb="FF4472C4"/>
      <rgbColor rgb="FF33CCCC"/>
      <rgbColor rgb="FF99CC00"/>
      <rgbColor rgb="FFFFC000"/>
      <rgbColor rgb="FFFF9900"/>
      <rgbColor rgb="FFFA7D00"/>
      <rgbColor rgb="FF606F7B"/>
      <rgbColor rgb="FF969696"/>
      <rgbColor rgb="FF1F3864"/>
      <rgbColor rgb="FF339966"/>
      <rgbColor rgb="FF003300"/>
      <rgbColor rgb="FF333300"/>
      <rgbColor rgb="FF9C5700"/>
      <rgbColor rgb="FF993366"/>
      <rgbColor rgb="FF2F5496"/>
      <rgbColor rgb="FF22222F"/>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1" displayName="Table1" ref="A1:B5" totalsRowShown="0">
  <autoFilter ref="A1:B5" xr:uid="{00000000-0009-0000-0100-000001000000}"/>
  <tableColumns count="2">
    <tableColumn id="1" xr3:uid="{00000000-0010-0000-0000-000001000000}" name="Compounded Sales Growth"/>
    <tableColumn id="2" xr3:uid="{00000000-0010-0000-0000-000002000000}" name="%"/>
  </tableColumns>
  <tableStyleInfo showFirstColumn="0" showLastColumn="0" showRowStripes="1" showColumnStripes="0"/>
</table>
</file>

<file path=xl/theme/theme1.xml><?xml version="1.0" encoding="utf-8"?>
<a:theme xmlns:a="http://schemas.openxmlformats.org/drawingml/2006/main" name="Office Theme">
  <a:themeElements>
    <a:clrScheme name="Office">
      <a:dk1>
        <a:srgbClr val="000000"/>
      </a:dk1>
      <a:lt1>
        <a:srgbClr val="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majorFont>
      <a:minorFont>
        <a:latin typeface="Calibri" panose="020F050202020403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6350" cap="flat" cmpd="sng" algn="ctr">
          <a:prstDash val="solid"/>
          <a:miter lim="800000"/>
        </a:ln>
        <a:ln w="12700" cap="flat" cmpd="sng" algn="ctr">
          <a:prstDash val="solid"/>
          <a:miter lim="800000"/>
        </a:ln>
        <a:ln w="1905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table" Target="../tables/table1.xml"/><Relationship Id="rId1"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4.xml.rels><?xml version="1.0" encoding="UTF-8" standalone="yes"?>
<Relationships xmlns="http://schemas.openxmlformats.org/package/2006/relationships"><Relationship Id="rId2" Type="http://schemas.openxmlformats.org/officeDocument/2006/relationships/comments" Target="../comments3.xml"/><Relationship Id="rId1" Type="http://schemas.openxmlformats.org/officeDocument/2006/relationships/vmlDrawing" Target="../drawings/vmlDrawing3.vml"/></Relationships>
</file>

<file path=xl/worksheets/_rels/sheet6.xml.rels><?xml version="1.0" encoding="UTF-8" standalone="yes"?>
<Relationships xmlns="http://schemas.openxmlformats.org/package/2006/relationships"><Relationship Id="rId2" Type="http://schemas.openxmlformats.org/officeDocument/2006/relationships/comments" Target="../comments4.xml"/><Relationship Id="rId1" Type="http://schemas.openxmlformats.org/officeDocument/2006/relationships/vmlDrawing" Target="../drawings/vmlDrawing4.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5"/>
  <sheetViews>
    <sheetView zoomScaleNormal="100" workbookViewId="0">
      <selection activeCell="E20" sqref="E20"/>
    </sheetView>
  </sheetViews>
  <sheetFormatPr defaultColWidth="8.6640625" defaultRowHeight="14.4" x14ac:dyDescent="0.3"/>
  <cols>
    <col min="4" max="4" width="26.33203125" style="8" customWidth="1"/>
  </cols>
  <sheetData>
    <row r="1" spans="1:10" ht="14.25" customHeight="1" x14ac:dyDescent="0.3">
      <c r="A1" s="7" t="s">
        <v>0</v>
      </c>
      <c r="B1" s="7"/>
      <c r="C1" s="7"/>
      <c r="D1" s="7"/>
      <c r="E1" s="7"/>
      <c r="F1" s="7"/>
      <c r="G1" s="7"/>
      <c r="H1" s="7"/>
      <c r="I1" s="7"/>
      <c r="J1" s="7"/>
    </row>
    <row r="2" spans="1:10" x14ac:dyDescent="0.3">
      <c r="A2" s="7"/>
      <c r="B2" s="7"/>
      <c r="C2" s="7"/>
      <c r="D2" s="7"/>
      <c r="E2" s="7"/>
      <c r="F2" s="7"/>
      <c r="G2" s="7"/>
      <c r="H2" s="7"/>
      <c r="I2" s="7"/>
      <c r="J2" s="7"/>
    </row>
    <row r="3" spans="1:10" x14ac:dyDescent="0.3">
      <c r="A3" s="7"/>
      <c r="B3" s="7"/>
      <c r="C3" s="7"/>
      <c r="D3" s="7"/>
      <c r="E3" s="7"/>
      <c r="F3" s="7"/>
      <c r="G3" s="7"/>
      <c r="H3" s="7"/>
      <c r="I3" s="7"/>
      <c r="J3" s="7"/>
    </row>
    <row r="4" spans="1:10" x14ac:dyDescent="0.3">
      <c r="A4" s="7"/>
      <c r="B4" s="7"/>
      <c r="C4" s="7"/>
      <c r="D4" s="7"/>
      <c r="E4" s="7"/>
      <c r="F4" s="7"/>
      <c r="G4" s="7"/>
      <c r="H4" s="7"/>
      <c r="I4" s="7"/>
      <c r="J4" s="7"/>
    </row>
    <row r="5" spans="1:10" x14ac:dyDescent="0.3">
      <c r="A5" s="7"/>
      <c r="B5" s="7"/>
      <c r="C5" s="7"/>
      <c r="D5" s="7"/>
      <c r="E5" s="7"/>
      <c r="F5" s="7"/>
      <c r="G5" s="7"/>
      <c r="H5" s="7"/>
      <c r="I5" s="7"/>
      <c r="J5" s="7"/>
    </row>
    <row r="6" spans="1:10" ht="14.25" customHeight="1" x14ac:dyDescent="0.3">
      <c r="A6" s="6" t="s">
        <v>1</v>
      </c>
      <c r="B6" s="6"/>
      <c r="C6" s="6"/>
      <c r="D6" s="6"/>
      <c r="E6" s="6"/>
      <c r="F6" s="6"/>
      <c r="G6" s="6"/>
      <c r="H6" s="6"/>
      <c r="I6" s="6"/>
      <c r="J6" s="6"/>
    </row>
    <row r="7" spans="1:10" x14ac:dyDescent="0.3">
      <c r="A7" s="6"/>
      <c r="B7" s="6"/>
      <c r="C7" s="6"/>
      <c r="D7" s="6"/>
      <c r="E7" s="6"/>
      <c r="F7" s="6"/>
      <c r="G7" s="6"/>
      <c r="H7" s="6"/>
      <c r="I7" s="6"/>
      <c r="J7" s="6"/>
    </row>
    <row r="8" spans="1:10" x14ac:dyDescent="0.3">
      <c r="A8" s="6"/>
      <c r="B8" s="6"/>
      <c r="C8" s="6"/>
      <c r="D8" s="6"/>
      <c r="E8" s="6"/>
      <c r="F8" s="6"/>
      <c r="G8" s="6"/>
      <c r="H8" s="6"/>
      <c r="I8" s="6"/>
      <c r="J8" s="6"/>
    </row>
    <row r="10" spans="1:10" x14ac:dyDescent="0.3">
      <c r="B10" s="76" t="s">
        <v>2</v>
      </c>
      <c r="C10" s="76"/>
      <c r="D10" s="77" t="s">
        <v>3</v>
      </c>
      <c r="E10" s="9"/>
      <c r="F10" s="9"/>
      <c r="G10" s="9"/>
    </row>
    <row r="11" spans="1:10" x14ac:dyDescent="0.3">
      <c r="B11" s="76" t="s">
        <v>4</v>
      </c>
      <c r="C11" s="76"/>
      <c r="D11" s="77" t="s">
        <v>5</v>
      </c>
      <c r="E11" s="9"/>
      <c r="F11" s="9"/>
      <c r="G11" s="9"/>
    </row>
    <row r="12" spans="1:10" x14ac:dyDescent="0.3">
      <c r="B12" s="76" t="s">
        <v>6</v>
      </c>
      <c r="C12" s="76"/>
      <c r="D12" s="77" t="s">
        <v>7</v>
      </c>
      <c r="E12" s="9"/>
      <c r="F12" s="9"/>
      <c r="G12" s="9"/>
    </row>
    <row r="13" spans="1:10" x14ac:dyDescent="0.3">
      <c r="B13" s="76" t="s">
        <v>8</v>
      </c>
      <c r="C13" s="76"/>
      <c r="D13" s="78">
        <v>41030</v>
      </c>
      <c r="E13" s="9"/>
      <c r="F13" s="9"/>
      <c r="G13" s="9"/>
    </row>
    <row r="14" spans="1:10" x14ac:dyDescent="0.3">
      <c r="B14" s="76" t="s">
        <v>9</v>
      </c>
      <c r="C14" s="76"/>
      <c r="D14" s="79">
        <v>2026</v>
      </c>
      <c r="E14" s="9"/>
      <c r="F14" s="9"/>
      <c r="G14" s="9"/>
    </row>
    <row r="15" spans="1:10" x14ac:dyDescent="0.3">
      <c r="B15" s="76" t="s">
        <v>10</v>
      </c>
      <c r="C15" s="76"/>
      <c r="D15" s="77" t="s">
        <v>11</v>
      </c>
      <c r="E15" s="9"/>
      <c r="F15" s="9"/>
      <c r="G15" s="9"/>
    </row>
  </sheetData>
  <mergeCells count="8">
    <mergeCell ref="B13:C13"/>
    <mergeCell ref="B14:C14"/>
    <mergeCell ref="B15:C15"/>
    <mergeCell ref="A1:J5"/>
    <mergeCell ref="A6:J8"/>
    <mergeCell ref="B10:C10"/>
    <mergeCell ref="B11:C11"/>
    <mergeCell ref="B12:C12"/>
  </mergeCells>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M28"/>
  <sheetViews>
    <sheetView showGridLines="0" zoomScaleNormal="100" workbookViewId="0">
      <selection activeCell="B25" sqref="B25"/>
    </sheetView>
  </sheetViews>
  <sheetFormatPr defaultColWidth="8.6640625" defaultRowHeight="14.4" x14ac:dyDescent="0.3"/>
  <cols>
    <col min="1" max="1" width="29.109375" style="8" customWidth="1"/>
    <col min="2" max="2" width="12" style="8" customWidth="1"/>
    <col min="5" max="5" width="14.77734375" style="8" customWidth="1"/>
    <col min="12" max="12" width="8.88671875" style="8" customWidth="1"/>
  </cols>
  <sheetData>
    <row r="1" spans="1:13" x14ac:dyDescent="0.3">
      <c r="A1" s="10" t="s">
        <v>12</v>
      </c>
      <c r="B1" s="11" t="s">
        <v>13</v>
      </c>
    </row>
    <row r="2" spans="1:13" x14ac:dyDescent="0.3">
      <c r="A2" s="12" t="s">
        <v>14</v>
      </c>
      <c r="B2" s="13">
        <v>0.2</v>
      </c>
    </row>
    <row r="3" spans="1:13" x14ac:dyDescent="0.3">
      <c r="A3" s="12" t="s">
        <v>15</v>
      </c>
      <c r="B3" s="13">
        <v>0.27</v>
      </c>
    </row>
    <row r="4" spans="1:13" x14ac:dyDescent="0.3">
      <c r="A4" s="12" t="s">
        <v>16</v>
      </c>
      <c r="B4" s="13">
        <v>0.18</v>
      </c>
    </row>
    <row r="5" spans="1:13" x14ac:dyDescent="0.3">
      <c r="A5" s="12" t="s">
        <v>17</v>
      </c>
      <c r="B5" s="13">
        <v>0.14000000000000001</v>
      </c>
    </row>
    <row r="6" spans="1:13" x14ac:dyDescent="0.3">
      <c r="A6" s="5" t="s">
        <v>18</v>
      </c>
      <c r="B6" s="5"/>
      <c r="C6" s="14" t="s">
        <v>19</v>
      </c>
      <c r="D6" s="14" t="s">
        <v>20</v>
      </c>
      <c r="E6" s="14" t="s">
        <v>21</v>
      </c>
      <c r="F6" s="14" t="s">
        <v>22</v>
      </c>
      <c r="G6" s="14" t="s">
        <v>23</v>
      </c>
      <c r="H6" s="14" t="s">
        <v>24</v>
      </c>
      <c r="I6" s="14" t="s">
        <v>25</v>
      </c>
      <c r="J6" s="14" t="s">
        <v>26</v>
      </c>
      <c r="K6" s="14" t="s">
        <v>27</v>
      </c>
      <c r="L6" s="14" t="s">
        <v>28</v>
      </c>
    </row>
    <row r="7" spans="1:13" x14ac:dyDescent="0.3">
      <c r="A7" s="8" t="s">
        <v>29</v>
      </c>
      <c r="B7" s="15"/>
      <c r="C7" s="16">
        <v>0.185</v>
      </c>
      <c r="D7" s="16">
        <v>0.19500000000000001</v>
      </c>
      <c r="E7" s="16">
        <v>0.2</v>
      </c>
      <c r="F7" s="16">
        <v>0.20499999999999999</v>
      </c>
      <c r="G7" s="16">
        <v>0.19</v>
      </c>
      <c r="H7" s="16">
        <v>0.17499999999999999</v>
      </c>
      <c r="I7" s="16">
        <v>0.16</v>
      </c>
      <c r="J7" s="16">
        <v>0.14499999999999999</v>
      </c>
      <c r="K7" s="16">
        <v>0.12</v>
      </c>
      <c r="L7" s="16">
        <v>0.1</v>
      </c>
    </row>
    <row r="8" spans="1:13" x14ac:dyDescent="0.3">
      <c r="A8" s="8" t="s">
        <v>30</v>
      </c>
      <c r="B8" s="17"/>
      <c r="C8" s="16">
        <v>0.23</v>
      </c>
      <c r="D8" s="16">
        <v>0.23499999999999999</v>
      </c>
      <c r="E8" s="16">
        <v>0.24</v>
      </c>
      <c r="F8" s="16">
        <v>0.245</v>
      </c>
      <c r="G8" s="16">
        <v>0.25</v>
      </c>
      <c r="H8" s="16">
        <v>0.24</v>
      </c>
      <c r="I8" s="16">
        <v>0.23</v>
      </c>
      <c r="J8" s="16">
        <v>0.23</v>
      </c>
      <c r="K8" s="16">
        <v>0.22</v>
      </c>
      <c r="L8" s="16">
        <v>0.22</v>
      </c>
    </row>
    <row r="9" spans="1:13" x14ac:dyDescent="0.3">
      <c r="A9" s="8" t="s">
        <v>31</v>
      </c>
      <c r="B9" s="15"/>
      <c r="C9" s="16">
        <v>0.14000000000000001</v>
      </c>
      <c r="D9" s="16">
        <v>0.16</v>
      </c>
      <c r="E9" s="16">
        <v>0.17</v>
      </c>
      <c r="F9" s="16">
        <v>0.18</v>
      </c>
      <c r="G9" s="16">
        <v>0.14000000000000001</v>
      </c>
      <c r="H9" s="16">
        <v>0.13</v>
      </c>
      <c r="I9" s="16">
        <v>0.11</v>
      </c>
      <c r="J9" s="16">
        <v>0.09</v>
      </c>
      <c r="K9" s="16">
        <v>7.0000000000000007E-2</v>
      </c>
      <c r="L9" s="16">
        <v>0.05</v>
      </c>
    </row>
    <row r="10" spans="1:13" x14ac:dyDescent="0.3">
      <c r="A10" s="8" t="s">
        <v>32</v>
      </c>
      <c r="B10" s="15"/>
      <c r="C10" s="16">
        <v>0.05</v>
      </c>
      <c r="D10" s="16">
        <v>0.05</v>
      </c>
      <c r="E10" s="16">
        <v>5.5E-2</v>
      </c>
      <c r="F10" s="16">
        <v>5.5E-2</v>
      </c>
      <c r="G10" s="16">
        <v>0.05</v>
      </c>
      <c r="H10" s="16">
        <v>0.05</v>
      </c>
      <c r="I10" s="16">
        <v>0.05</v>
      </c>
      <c r="J10" s="16">
        <v>4.4999999999999998E-2</v>
      </c>
      <c r="K10" s="16">
        <v>4.4999999999999998E-2</v>
      </c>
      <c r="L10" s="16">
        <v>4.4999999999999998E-2</v>
      </c>
    </row>
    <row r="11" spans="1:13" x14ac:dyDescent="0.3">
      <c r="A11" s="8" t="s">
        <v>33</v>
      </c>
      <c r="B11" s="15"/>
      <c r="C11" s="16">
        <v>0.12</v>
      </c>
      <c r="D11" s="16">
        <v>0.105</v>
      </c>
      <c r="E11" s="16">
        <v>0.09</v>
      </c>
      <c r="F11" s="16">
        <v>7.4999999999999997E-2</v>
      </c>
      <c r="G11" s="16">
        <v>0.06</v>
      </c>
      <c r="H11" s="16">
        <v>5.5E-2</v>
      </c>
      <c r="I11" s="16">
        <v>0.05</v>
      </c>
      <c r="J11" s="16">
        <v>4.4999999999999998E-2</v>
      </c>
      <c r="K11" s="16">
        <v>0.04</v>
      </c>
      <c r="L11" s="16">
        <v>0.04</v>
      </c>
    </row>
    <row r="12" spans="1:13" x14ac:dyDescent="0.3">
      <c r="A12" s="5" t="s">
        <v>34</v>
      </c>
      <c r="B12" s="5"/>
      <c r="M12" s="18"/>
    </row>
    <row r="13" spans="1:13" x14ac:dyDescent="0.3">
      <c r="A13" s="8" t="s">
        <v>35</v>
      </c>
      <c r="B13" s="15">
        <v>6.9500000000000006E-2</v>
      </c>
    </row>
    <row r="14" spans="1:13" x14ac:dyDescent="0.3">
      <c r="A14" s="8" t="s">
        <v>36</v>
      </c>
      <c r="B14" s="17">
        <v>7.0800000000000002E-2</v>
      </c>
      <c r="H14" s="19"/>
    </row>
    <row r="15" spans="1:13" x14ac:dyDescent="0.3">
      <c r="A15" s="8" t="s">
        <v>37</v>
      </c>
      <c r="B15" s="20">
        <v>1.05</v>
      </c>
    </row>
    <row r="17" spans="1:3" x14ac:dyDescent="0.3">
      <c r="A17" s="8" t="s">
        <v>38</v>
      </c>
      <c r="B17" s="21">
        <f>(B13+(B14*B15))*100</f>
        <v>14.384000000000002</v>
      </c>
    </row>
    <row r="18" spans="1:3" x14ac:dyDescent="0.3">
      <c r="A18" s="5" t="s">
        <v>39</v>
      </c>
      <c r="B18" s="5"/>
    </row>
    <row r="19" spans="1:3" x14ac:dyDescent="0.3">
      <c r="A19" s="21" t="s">
        <v>40</v>
      </c>
      <c r="B19" s="21">
        <f>'Income Statement Working'!D9/'Net Working Capital'!D18</f>
        <v>9.6837944664031617E-2</v>
      </c>
    </row>
    <row r="20" spans="1:3" x14ac:dyDescent="0.3">
      <c r="A20" s="21" t="s">
        <v>41</v>
      </c>
      <c r="B20" s="21">
        <f>(B19*(1-0.24))*100</f>
        <v>7.3596837944664024</v>
      </c>
    </row>
    <row r="22" spans="1:3" x14ac:dyDescent="0.3">
      <c r="A22" s="8" t="s">
        <v>42</v>
      </c>
      <c r="B22" s="22">
        <v>169488</v>
      </c>
    </row>
    <row r="23" spans="1:3" x14ac:dyDescent="0.3">
      <c r="A23" s="8" t="s">
        <v>43</v>
      </c>
      <c r="B23" s="21">
        <f>B22+'Net Working Capital'!D18</f>
        <v>171512</v>
      </c>
    </row>
    <row r="25" spans="1:3" x14ac:dyDescent="0.3">
      <c r="A25" s="8" t="s">
        <v>44</v>
      </c>
      <c r="B25" s="21">
        <f>B22/B23</f>
        <v>0.98819907644946126</v>
      </c>
    </row>
    <row r="26" spans="1:3" x14ac:dyDescent="0.3">
      <c r="A26" s="8" t="s">
        <v>45</v>
      </c>
      <c r="B26" s="21">
        <f>'Net Working Capital'!D18/Assumptions!B23</f>
        <v>1.1800923550538737E-2</v>
      </c>
    </row>
    <row r="28" spans="1:3" x14ac:dyDescent="0.3">
      <c r="A28" s="8" t="s">
        <v>46</v>
      </c>
      <c r="B28" s="21">
        <f>(B17*B25)+(B20*B26)</f>
        <v>14.301106581463689</v>
      </c>
      <c r="C28" s="21">
        <f>B28/100</f>
        <v>0.14301106581463688</v>
      </c>
    </row>
  </sheetData>
  <mergeCells count="3">
    <mergeCell ref="A6:B6"/>
    <mergeCell ref="A12:B12"/>
    <mergeCell ref="A18:B18"/>
  </mergeCells>
  <pageMargins left="0.7" right="0.7" top="0.75" bottom="0.75" header="0.511811023622047" footer="0.511811023622047"/>
  <pageSetup orientation="portrait" horizontalDpi="300" verticalDpi="300"/>
  <legacyDrawing r:id="rId1"/>
  <tableParts count="1">
    <tablePart r:id="rId2"/>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8"/>
  <sheetViews>
    <sheetView showGridLines="0" zoomScaleNormal="100" workbookViewId="0">
      <pane ySplit="1" topLeftCell="A2" activePane="bottomLeft" state="frozen"/>
      <selection pane="bottomLeft" activeCell="H29" sqref="H29"/>
    </sheetView>
  </sheetViews>
  <sheetFormatPr defaultColWidth="8.6640625" defaultRowHeight="14.4" x14ac:dyDescent="0.3"/>
  <cols>
    <col min="1" max="1" width="22.33203125" style="8" customWidth="1"/>
    <col min="5" max="9" width="11.33203125" style="8" customWidth="1"/>
  </cols>
  <sheetData>
    <row r="1" spans="1:14" x14ac:dyDescent="0.3">
      <c r="A1" s="23" t="s">
        <v>47</v>
      </c>
      <c r="B1" s="14">
        <v>45261</v>
      </c>
      <c r="C1" s="14">
        <v>45627</v>
      </c>
      <c r="D1" s="14">
        <v>45992</v>
      </c>
      <c r="E1" s="14" t="s">
        <v>19</v>
      </c>
      <c r="F1" s="14" t="s">
        <v>20</v>
      </c>
      <c r="G1" s="14" t="s">
        <v>21</v>
      </c>
      <c r="H1" s="14" t="s">
        <v>22</v>
      </c>
      <c r="I1" s="14" t="s">
        <v>23</v>
      </c>
      <c r="J1" s="14" t="s">
        <v>24</v>
      </c>
      <c r="K1" s="14" t="s">
        <v>25</v>
      </c>
      <c r="L1" s="14" t="s">
        <v>26</v>
      </c>
      <c r="M1" s="14" t="s">
        <v>27</v>
      </c>
      <c r="N1" s="14" t="s">
        <v>28</v>
      </c>
    </row>
    <row r="2" spans="1:14" x14ac:dyDescent="0.3">
      <c r="A2" s="8" t="s">
        <v>48</v>
      </c>
      <c r="B2" s="20">
        <v>16043</v>
      </c>
      <c r="C2" s="20">
        <v>20008</v>
      </c>
      <c r="D2" s="20">
        <v>21685</v>
      </c>
      <c r="E2" s="21">
        <f>D2*(1+Assumptions!C7)</f>
        <v>25696.725000000002</v>
      </c>
      <c r="F2" s="21">
        <f>E2*(1+Assumptions!D7)</f>
        <v>30707.586375000003</v>
      </c>
      <c r="G2" s="21">
        <f>F2*(1+Assumptions!E7)</f>
        <v>36849.103650000005</v>
      </c>
      <c r="H2" s="21">
        <f>G2*(1+Assumptions!F7)</f>
        <v>44403.169898250009</v>
      </c>
      <c r="I2" s="21">
        <f>H2*(1+Assumptions!G7)</f>
        <v>52839.772178917512</v>
      </c>
      <c r="J2" s="21">
        <f>I2*(1+Assumptions!H7)</f>
        <v>62086.732310228079</v>
      </c>
      <c r="K2" s="21">
        <f>J2*(1+Assumptions!I7)</f>
        <v>72020.609479864564</v>
      </c>
      <c r="L2" s="21">
        <f>K2*(1+Assumptions!J7)</f>
        <v>82463.597854444932</v>
      </c>
      <c r="M2" s="21">
        <f>L2*(1+Assumptions!K7)</f>
        <v>92359.22959697833</v>
      </c>
      <c r="N2" s="21">
        <f>M2*(1+Assumptions!L7)</f>
        <v>101595.15255667617</v>
      </c>
    </row>
    <row r="3" spans="1:14" x14ac:dyDescent="0.3">
      <c r="A3" s="8" t="s">
        <v>49</v>
      </c>
      <c r="B3" s="21">
        <f>B2*(46.16/100)</f>
        <v>7405.4487999999992</v>
      </c>
      <c r="C3" s="21">
        <f>C2*(44.51/100)</f>
        <v>8905.5607999999993</v>
      </c>
      <c r="D3" s="21">
        <f>D2*(44.8/100)</f>
        <v>9714.8799999999992</v>
      </c>
    </row>
    <row r="4" spans="1:14" x14ac:dyDescent="0.3">
      <c r="A4" s="8" t="s">
        <v>50</v>
      </c>
      <c r="B4" s="21">
        <f>B2*(9.02/100)</f>
        <v>1447.0786000000001</v>
      </c>
      <c r="C4" s="21">
        <f>C2*(9.43/100)</f>
        <v>1886.7543999999998</v>
      </c>
      <c r="D4" s="21">
        <f>D2*(10.15/100)</f>
        <v>2201.0275000000001</v>
      </c>
    </row>
    <row r="5" spans="1:14" x14ac:dyDescent="0.3">
      <c r="A5" s="8" t="s">
        <v>51</v>
      </c>
      <c r="B5" s="21">
        <f>B2*((14.87+6.78)/100)</f>
        <v>3473.3094999999998</v>
      </c>
      <c r="C5" s="21">
        <f>C2*((15.44+6.55)/100)</f>
        <v>4399.7591999999995</v>
      </c>
      <c r="D5" s="21">
        <f>D2*((6.02+15.65)/100)</f>
        <v>4699.1395000000002</v>
      </c>
    </row>
    <row r="6" spans="1:14" x14ac:dyDescent="0.3">
      <c r="A6" s="8" t="s">
        <v>52</v>
      </c>
      <c r="B6" s="21">
        <f>B2-(B3+B4+B5)</f>
        <v>3717.1631000000016</v>
      </c>
      <c r="C6" s="21">
        <f>C2-(C3+C4+C5)</f>
        <v>4815.9256000000023</v>
      </c>
      <c r="D6" s="21">
        <f>D2-(D3+D4+D5)</f>
        <v>5069.9530000000013</v>
      </c>
      <c r="E6" s="21">
        <f>E2*Assumptions!C8</f>
        <v>5910.2467500000012</v>
      </c>
      <c r="F6" s="21">
        <f>F2*Assumptions!D8</f>
        <v>7216.2827981250002</v>
      </c>
      <c r="G6" s="21">
        <f>G2*Assumptions!E8</f>
        <v>8843.7848760000015</v>
      </c>
      <c r="H6" s="21">
        <f>H2*Assumptions!F8</f>
        <v>10878.776625071252</v>
      </c>
      <c r="I6" s="21">
        <f>I2*Assumptions!G8</f>
        <v>13209.943044729378</v>
      </c>
      <c r="J6" s="21">
        <f>J2*Assumptions!H8</f>
        <v>14900.815754454738</v>
      </c>
      <c r="K6" s="21">
        <f>K2*Assumptions!I8</f>
        <v>16564.740180368852</v>
      </c>
      <c r="L6" s="21">
        <f>L2*Assumptions!J8</f>
        <v>18966.627506522334</v>
      </c>
      <c r="M6" s="21">
        <f>M2*Assumptions!K8</f>
        <v>20319.030511335233</v>
      </c>
      <c r="N6" s="21">
        <f>N2*Assumptions!L8</f>
        <v>22350.933562468759</v>
      </c>
    </row>
    <row r="7" spans="1:14" x14ac:dyDescent="0.3">
      <c r="A7" s="8" t="s">
        <v>53</v>
      </c>
      <c r="B7" s="20">
        <v>681</v>
      </c>
      <c r="C7" s="20">
        <v>947</v>
      </c>
      <c r="D7" s="20">
        <v>1216</v>
      </c>
      <c r="E7" s="21">
        <f>E2*Assumptions!C10</f>
        <v>1284.8362500000003</v>
      </c>
      <c r="F7" s="21">
        <f>F2*Assumptions!D10</f>
        <v>1535.3793187500003</v>
      </c>
      <c r="G7" s="21">
        <f>G2*Assumptions!E10</f>
        <v>2026.7007007500004</v>
      </c>
      <c r="H7" s="21">
        <f>H2*Assumptions!F10</f>
        <v>2442.1743444037506</v>
      </c>
      <c r="I7" s="21">
        <f>I2*Assumptions!G10</f>
        <v>2641.988608945876</v>
      </c>
      <c r="J7" s="21">
        <f>J2*Assumptions!H10</f>
        <v>3104.336615511404</v>
      </c>
      <c r="K7" s="21">
        <f>K2*Assumptions!I10</f>
        <v>3601.0304739932285</v>
      </c>
      <c r="L7" s="21">
        <f>L2*Assumptions!J10</f>
        <v>3710.8619034500216</v>
      </c>
      <c r="M7" s="21">
        <f>M2*Assumptions!K10</f>
        <v>4156.1653318640247</v>
      </c>
      <c r="N7" s="21">
        <f>N2*Assumptions!L10</f>
        <v>4571.7818650504278</v>
      </c>
    </row>
    <row r="8" spans="1:14" x14ac:dyDescent="0.3">
      <c r="A8" s="8" t="s">
        <v>54</v>
      </c>
      <c r="B8" s="21">
        <f t="shared" ref="B8:N8" si="0">B6-B7</f>
        <v>3036.1631000000016</v>
      </c>
      <c r="C8" s="21">
        <f t="shared" si="0"/>
        <v>3868.9256000000023</v>
      </c>
      <c r="D8" s="21">
        <f t="shared" si="0"/>
        <v>3853.9530000000013</v>
      </c>
      <c r="E8" s="21">
        <f t="shared" si="0"/>
        <v>4625.4105000000009</v>
      </c>
      <c r="F8" s="21">
        <f t="shared" si="0"/>
        <v>5680.9034793749997</v>
      </c>
      <c r="G8" s="21">
        <f t="shared" si="0"/>
        <v>6817.084175250001</v>
      </c>
      <c r="H8" s="21">
        <f t="shared" si="0"/>
        <v>8436.602280667501</v>
      </c>
      <c r="I8" s="21">
        <f t="shared" si="0"/>
        <v>10567.954435783502</v>
      </c>
      <c r="J8" s="21">
        <f t="shared" si="0"/>
        <v>11796.479138943334</v>
      </c>
      <c r="K8" s="21">
        <f t="shared" si="0"/>
        <v>12963.709706375623</v>
      </c>
      <c r="L8" s="21">
        <f t="shared" si="0"/>
        <v>15255.765603072312</v>
      </c>
      <c r="M8" s="21">
        <f t="shared" si="0"/>
        <v>16162.86517947121</v>
      </c>
      <c r="N8" s="21">
        <f t="shared" si="0"/>
        <v>17779.151697418332</v>
      </c>
    </row>
    <row r="9" spans="1:14" x14ac:dyDescent="0.3">
      <c r="A9" s="8" t="s">
        <v>55</v>
      </c>
      <c r="B9" s="20">
        <v>292</v>
      </c>
      <c r="C9" s="20">
        <v>483</v>
      </c>
      <c r="D9" s="20">
        <v>196</v>
      </c>
    </row>
    <row r="10" spans="1:14" x14ac:dyDescent="0.3">
      <c r="A10" s="8" t="s">
        <v>56</v>
      </c>
      <c r="B10" s="21">
        <f>B8-B9</f>
        <v>2744.1631000000016</v>
      </c>
      <c r="C10" s="21">
        <f>C8-C9</f>
        <v>3385.9256000000023</v>
      </c>
      <c r="D10" s="21">
        <f>D8-D9</f>
        <v>3657.9530000000013</v>
      </c>
    </row>
    <row r="11" spans="1:14" x14ac:dyDescent="0.3">
      <c r="A11" s="8" t="s">
        <v>57</v>
      </c>
      <c r="B11" s="21">
        <f>B10*(23/100)</f>
        <v>631.15751300000034</v>
      </c>
      <c r="C11" s="21">
        <f>C10*(23/100)</f>
        <v>778.76288800000054</v>
      </c>
      <c r="D11" s="21">
        <f>D10*(24/100)</f>
        <v>877.90872000000024</v>
      </c>
      <c r="E11" s="21">
        <f t="shared" ref="E11:N11" si="1">E8*(24/100)</f>
        <v>1110.0985200000002</v>
      </c>
      <c r="F11" s="21">
        <f t="shared" si="1"/>
        <v>1363.4168350499999</v>
      </c>
      <c r="G11" s="21">
        <f t="shared" si="1"/>
        <v>1636.1002020600001</v>
      </c>
      <c r="H11" s="21">
        <f t="shared" si="1"/>
        <v>2024.7845473602001</v>
      </c>
      <c r="I11" s="21">
        <f t="shared" si="1"/>
        <v>2536.3090645880402</v>
      </c>
      <c r="J11" s="21">
        <f t="shared" si="1"/>
        <v>2831.1549933464003</v>
      </c>
      <c r="K11" s="21">
        <f t="shared" si="1"/>
        <v>3111.2903295301494</v>
      </c>
      <c r="L11" s="21">
        <f t="shared" si="1"/>
        <v>3661.3837447373548</v>
      </c>
      <c r="M11" s="21">
        <f t="shared" si="1"/>
        <v>3879.08764307309</v>
      </c>
      <c r="N11" s="21">
        <f t="shared" si="1"/>
        <v>4266.9964073803994</v>
      </c>
    </row>
    <row r="12" spans="1:14" x14ac:dyDescent="0.3">
      <c r="A12" s="8" t="s">
        <v>58</v>
      </c>
      <c r="B12" s="21">
        <f>B10-B11</f>
        <v>2113.0055870000015</v>
      </c>
      <c r="C12" s="21">
        <f>C10-C11</f>
        <v>2607.1627120000016</v>
      </c>
      <c r="D12" s="21">
        <f>D10-D11</f>
        <v>2780.044280000001</v>
      </c>
    </row>
    <row r="13" spans="1:14" x14ac:dyDescent="0.3">
      <c r="A13" s="21" t="s">
        <v>59</v>
      </c>
      <c r="E13" s="21">
        <f t="shared" ref="E13:N13" si="2">E8-E11</f>
        <v>3515.3119800000004</v>
      </c>
      <c r="F13" s="21">
        <f t="shared" si="2"/>
        <v>4317.4866443249994</v>
      </c>
      <c r="G13" s="21">
        <f t="shared" si="2"/>
        <v>5180.9839731900011</v>
      </c>
      <c r="H13" s="21">
        <f t="shared" si="2"/>
        <v>6411.8177333073008</v>
      </c>
      <c r="I13" s="21">
        <f t="shared" si="2"/>
        <v>8031.6453711954618</v>
      </c>
      <c r="J13" s="21">
        <f t="shared" si="2"/>
        <v>8965.3241455969328</v>
      </c>
      <c r="K13" s="21">
        <f t="shared" si="2"/>
        <v>9852.4193768454734</v>
      </c>
      <c r="L13" s="21">
        <f t="shared" si="2"/>
        <v>11594.381858334957</v>
      </c>
      <c r="M13" s="21">
        <f t="shared" si="2"/>
        <v>12283.77753639812</v>
      </c>
      <c r="N13" s="21">
        <f t="shared" si="2"/>
        <v>13512.155290037932</v>
      </c>
    </row>
    <row r="14" spans="1:14" x14ac:dyDescent="0.3">
      <c r="A14" s="8" t="s">
        <v>30</v>
      </c>
      <c r="B14" s="21">
        <f t="shared" ref="B14:N14" si="3">(B6/B2)*100</f>
        <v>23.170000000000009</v>
      </c>
      <c r="C14" s="21">
        <f t="shared" si="3"/>
        <v>24.070000000000011</v>
      </c>
      <c r="D14" s="21">
        <f t="shared" si="3"/>
        <v>23.380000000000006</v>
      </c>
      <c r="E14" s="21">
        <f t="shared" si="3"/>
        <v>23.000000000000004</v>
      </c>
      <c r="F14" s="21">
        <f t="shared" si="3"/>
        <v>23.5</v>
      </c>
      <c r="G14" s="21">
        <f t="shared" si="3"/>
        <v>24.000000000000004</v>
      </c>
      <c r="H14" s="21">
        <f t="shared" si="3"/>
        <v>24.5</v>
      </c>
      <c r="I14" s="21">
        <f t="shared" si="3"/>
        <v>25</v>
      </c>
      <c r="J14" s="21">
        <f t="shared" si="3"/>
        <v>24</v>
      </c>
      <c r="K14" s="21">
        <f t="shared" si="3"/>
        <v>23.000000000000004</v>
      </c>
      <c r="L14" s="21">
        <f t="shared" si="3"/>
        <v>23</v>
      </c>
      <c r="M14" s="21">
        <f t="shared" si="3"/>
        <v>22</v>
      </c>
      <c r="N14" s="21">
        <f t="shared" si="3"/>
        <v>22.000000000000004</v>
      </c>
    </row>
    <row r="15" spans="1:14" x14ac:dyDescent="0.3">
      <c r="A15" s="8" t="s">
        <v>60</v>
      </c>
      <c r="B15" s="21">
        <f t="shared" ref="B15:N15" si="4">(B7/B2)*100</f>
        <v>4.2448419871595089</v>
      </c>
      <c r="C15" s="21">
        <f t="shared" si="4"/>
        <v>4.7331067572970813</v>
      </c>
      <c r="D15" s="21">
        <f t="shared" si="4"/>
        <v>5.607562831450311</v>
      </c>
      <c r="E15" s="21">
        <f t="shared" si="4"/>
        <v>5.0000000000000009</v>
      </c>
      <c r="F15" s="21">
        <f t="shared" si="4"/>
        <v>5</v>
      </c>
      <c r="G15" s="21">
        <f t="shared" si="4"/>
        <v>5.5</v>
      </c>
      <c r="H15" s="21">
        <f t="shared" si="4"/>
        <v>5.5</v>
      </c>
      <c r="I15" s="21">
        <f t="shared" si="4"/>
        <v>5.0000000000000009</v>
      </c>
      <c r="J15" s="21">
        <f t="shared" si="4"/>
        <v>5</v>
      </c>
      <c r="K15" s="21">
        <f t="shared" si="4"/>
        <v>5</v>
      </c>
      <c r="L15" s="21">
        <f t="shared" si="4"/>
        <v>4.5</v>
      </c>
      <c r="M15" s="21">
        <f t="shared" si="4"/>
        <v>4.5</v>
      </c>
      <c r="N15" s="21">
        <f t="shared" si="4"/>
        <v>4.5</v>
      </c>
    </row>
    <row r="16" spans="1:14" x14ac:dyDescent="0.3">
      <c r="A16" s="8" t="s">
        <v>61</v>
      </c>
      <c r="D16" s="21">
        <f t="shared" ref="D16:N16" si="5">(D2-C2)/C2*100</f>
        <v>8.3816473410635748</v>
      </c>
      <c r="E16" s="21">
        <f t="shared" si="5"/>
        <v>18.500000000000011</v>
      </c>
      <c r="F16" s="21">
        <f t="shared" si="5"/>
        <v>19.5</v>
      </c>
      <c r="G16" s="21">
        <f t="shared" si="5"/>
        <v>20.000000000000004</v>
      </c>
      <c r="H16" s="21">
        <f t="shared" si="5"/>
        <v>20.500000000000011</v>
      </c>
      <c r="I16" s="21">
        <f t="shared" si="5"/>
        <v>19.000000000000004</v>
      </c>
      <c r="J16" s="21">
        <f t="shared" si="5"/>
        <v>17.500000000000004</v>
      </c>
      <c r="K16" s="21">
        <f t="shared" si="5"/>
        <v>15.999999999999989</v>
      </c>
      <c r="L16" s="21">
        <f t="shared" si="5"/>
        <v>14.500000000000007</v>
      </c>
      <c r="M16" s="21">
        <f t="shared" si="5"/>
        <v>12.000000000000007</v>
      </c>
      <c r="N16" s="21">
        <f t="shared" si="5"/>
        <v>10.000000000000007</v>
      </c>
    </row>
    <row r="17" spans="1:14" x14ac:dyDescent="0.3">
      <c r="A17" s="5" t="s">
        <v>62</v>
      </c>
      <c r="B17" s="5"/>
      <c r="C17" s="5"/>
      <c r="D17" s="5"/>
    </row>
    <row r="18" spans="1:14" x14ac:dyDescent="0.3">
      <c r="A18" s="8" t="s">
        <v>63</v>
      </c>
      <c r="B18" s="21">
        <f>B11/B10</f>
        <v>0.22999999999999998</v>
      </c>
      <c r="C18" s="21">
        <f>C11/C10</f>
        <v>0.23</v>
      </c>
      <c r="D18" s="21">
        <f>D11/D10</f>
        <v>0.24</v>
      </c>
      <c r="E18" s="20">
        <v>0.24</v>
      </c>
      <c r="F18" s="20">
        <v>0.24</v>
      </c>
      <c r="G18" s="20">
        <v>0.24</v>
      </c>
      <c r="H18" s="20">
        <v>0.24</v>
      </c>
      <c r="I18" s="20">
        <v>0.24</v>
      </c>
      <c r="J18" s="20">
        <v>0.24</v>
      </c>
      <c r="K18" s="20">
        <v>0.24</v>
      </c>
      <c r="L18" s="20">
        <v>0.24</v>
      </c>
      <c r="M18" s="20">
        <v>0.24</v>
      </c>
      <c r="N18" s="20">
        <v>0.24</v>
      </c>
    </row>
  </sheetData>
  <mergeCells count="1">
    <mergeCell ref="A17:D17"/>
  </mergeCells>
  <pageMargins left="0.7" right="0.7" top="0.75" bottom="0.75" header="0.511811023622047" footer="0.511811023622047"/>
  <pageSetup paperSize="9" orientation="portrait" horizontalDpi="300" verticalDpi="300"/>
  <legacy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28"/>
  <sheetViews>
    <sheetView showGridLines="0" zoomScale="90" zoomScaleNormal="90" workbookViewId="0">
      <pane ySplit="1" topLeftCell="A11" activePane="bottomLeft" state="frozen"/>
      <selection pane="bottomLeft" activeCell="P28" sqref="P28"/>
    </sheetView>
  </sheetViews>
  <sheetFormatPr defaultColWidth="8.6640625" defaultRowHeight="14.4" x14ac:dyDescent="0.3"/>
  <cols>
    <col min="1" max="1" width="27.21875" style="8" customWidth="1"/>
    <col min="5" max="9" width="11.33203125" style="8" customWidth="1"/>
  </cols>
  <sheetData>
    <row r="1" spans="1:15" x14ac:dyDescent="0.3">
      <c r="A1" s="23" t="s">
        <v>47</v>
      </c>
      <c r="B1" s="14">
        <v>45261</v>
      </c>
      <c r="C1" s="14">
        <v>45627</v>
      </c>
      <c r="D1" s="14">
        <v>45992</v>
      </c>
      <c r="E1" s="14" t="s">
        <v>19</v>
      </c>
      <c r="F1" s="14" t="s">
        <v>20</v>
      </c>
      <c r="G1" s="14" t="s">
        <v>21</v>
      </c>
      <c r="H1" s="14" t="s">
        <v>22</v>
      </c>
      <c r="I1" s="14" t="s">
        <v>23</v>
      </c>
      <c r="J1" s="14" t="s">
        <v>24</v>
      </c>
      <c r="K1" s="14" t="s">
        <v>25</v>
      </c>
      <c r="L1" s="14" t="s">
        <v>26</v>
      </c>
      <c r="M1" s="14" t="s">
        <v>27</v>
      </c>
      <c r="N1" s="14" t="s">
        <v>28</v>
      </c>
      <c r="O1" s="14"/>
    </row>
    <row r="2" spans="1:15" x14ac:dyDescent="0.3">
      <c r="A2" s="8" t="s">
        <v>64</v>
      </c>
      <c r="B2" s="20">
        <v>3036.1631000000002</v>
      </c>
      <c r="C2" s="20">
        <v>3868.9256</v>
      </c>
      <c r="D2" s="20">
        <v>3853.953</v>
      </c>
      <c r="E2" s="21"/>
      <c r="F2" s="21"/>
      <c r="G2" s="21"/>
      <c r="H2" s="21"/>
      <c r="I2" s="21"/>
    </row>
    <row r="3" spans="1:15" x14ac:dyDescent="0.3">
      <c r="A3" s="8" t="s">
        <v>65</v>
      </c>
      <c r="B3" s="21">
        <f>B2*(23/100)</f>
        <v>698.31751300000008</v>
      </c>
      <c r="C3" s="21">
        <f>C2*(23/100)</f>
        <v>889.85288800000001</v>
      </c>
      <c r="D3" s="21">
        <f>D2*(24/100)</f>
        <v>924.94871999999998</v>
      </c>
      <c r="E3" s="21"/>
      <c r="F3" s="21"/>
      <c r="G3" s="21"/>
      <c r="H3" s="21"/>
      <c r="I3" s="21"/>
    </row>
    <row r="4" spans="1:15" x14ac:dyDescent="0.3">
      <c r="A4" s="8" t="s">
        <v>59</v>
      </c>
      <c r="B4" s="21">
        <f>B2-B3</f>
        <v>2337.8455870000003</v>
      </c>
      <c r="C4" s="21">
        <f>C2-C3</f>
        <v>2979.0727120000001</v>
      </c>
      <c r="D4" s="21">
        <f>D2-D3</f>
        <v>2929.0042800000001</v>
      </c>
      <c r="E4" s="21">
        <f>'Income Statement Working'!E8-'Income Statement Working'!E11</f>
        <v>3515.3119800000004</v>
      </c>
      <c r="F4" s="21">
        <f>'Income Statement Working'!F8-'Income Statement Working'!F11</f>
        <v>4317.4866443249994</v>
      </c>
      <c r="G4" s="21">
        <f>'Income Statement Working'!G8-'Income Statement Working'!G11</f>
        <v>5180.9839731900011</v>
      </c>
      <c r="H4" s="21">
        <f>'Income Statement Working'!H8-'Income Statement Working'!H11</f>
        <v>6411.8177333073008</v>
      </c>
      <c r="I4" s="21">
        <f>'Income Statement Working'!I8-'Income Statement Working'!I11</f>
        <v>8031.6453711954618</v>
      </c>
      <c r="J4" s="21">
        <f>'Income Statement Working'!J8-'Income Statement Working'!J11</f>
        <v>8965.3241455969328</v>
      </c>
      <c r="K4" s="21">
        <f>'Income Statement Working'!K8-'Income Statement Working'!K11</f>
        <v>9852.4193768454734</v>
      </c>
      <c r="L4" s="21">
        <f>'Income Statement Working'!L8-'Income Statement Working'!L11</f>
        <v>11594.381858334957</v>
      </c>
      <c r="M4" s="21">
        <f>'Income Statement Working'!M8-'Income Statement Working'!M11</f>
        <v>12283.77753639812</v>
      </c>
      <c r="N4" s="21">
        <f>'Income Statement Working'!N8-'Income Statement Working'!N11</f>
        <v>13512.155290037932</v>
      </c>
    </row>
    <row r="5" spans="1:15" x14ac:dyDescent="0.3">
      <c r="A5" s="8" t="s">
        <v>66</v>
      </c>
      <c r="B5" s="20">
        <v>681</v>
      </c>
      <c r="C5" s="20">
        <v>947</v>
      </c>
      <c r="D5" s="20">
        <v>1216</v>
      </c>
      <c r="E5" s="21">
        <f>'Income Statement Working'!E2*Assumptions!C10</f>
        <v>1284.8362500000003</v>
      </c>
      <c r="F5" s="21">
        <f>'Income Statement Working'!F2*Assumptions!D10</f>
        <v>1535.3793187500003</v>
      </c>
      <c r="G5" s="21">
        <f>'Income Statement Working'!G2*Assumptions!E10</f>
        <v>2026.7007007500004</v>
      </c>
      <c r="H5" s="21">
        <f>'Income Statement Working'!H2*Assumptions!F10</f>
        <v>2442.1743444037506</v>
      </c>
      <c r="I5" s="21">
        <f>'Income Statement Working'!I2*Assumptions!G10</f>
        <v>2641.988608945876</v>
      </c>
      <c r="J5" s="21">
        <f>'Income Statement Working'!J2*Assumptions!H10</f>
        <v>3104.336615511404</v>
      </c>
      <c r="K5" s="21">
        <f>'Income Statement Working'!K2*Assumptions!I10</f>
        <v>3601.0304739932285</v>
      </c>
      <c r="L5" s="21">
        <f>'Income Statement Working'!L2*Assumptions!J10</f>
        <v>3710.8619034500216</v>
      </c>
      <c r="M5" s="21">
        <f>'Income Statement Working'!M2*Assumptions!K10</f>
        <v>4156.1653318640247</v>
      </c>
      <c r="N5" s="21">
        <f>'Income Statement Working'!N2*Assumptions!L10</f>
        <v>4571.7818650504278</v>
      </c>
    </row>
    <row r="6" spans="1:15" x14ac:dyDescent="0.3">
      <c r="A6" s="8" t="s">
        <v>67</v>
      </c>
      <c r="B6" s="20">
        <v>3264</v>
      </c>
      <c r="C6" s="20">
        <v>3779</v>
      </c>
      <c r="D6" s="20">
        <v>2739</v>
      </c>
      <c r="E6" s="21">
        <f>'Income Statement Working'!E2*Assumptions!C9</f>
        <v>3597.5415000000007</v>
      </c>
      <c r="F6" s="21">
        <f>'Income Statement Working'!F2*Assumptions!D9</f>
        <v>4913.2138200000009</v>
      </c>
      <c r="G6" s="21">
        <f>'Income Statement Working'!G2*Assumptions!E9</f>
        <v>6264.3476205000015</v>
      </c>
      <c r="H6" s="21">
        <f>'Income Statement Working'!H2*Assumptions!F9</f>
        <v>7992.5705816850013</v>
      </c>
      <c r="I6" s="21">
        <f>'Income Statement Working'!I2*Assumptions!G9</f>
        <v>7397.5681050484527</v>
      </c>
      <c r="J6" s="21">
        <f>'Income Statement Working'!J2*Assumptions!H9</f>
        <v>8071.2752003296509</v>
      </c>
      <c r="K6" s="21">
        <f>'Income Statement Working'!K2*Assumptions!I9</f>
        <v>7922.2670427851017</v>
      </c>
      <c r="L6" s="21">
        <f>'Income Statement Working'!L2*Assumptions!J9</f>
        <v>7421.7238069000432</v>
      </c>
      <c r="M6" s="21">
        <f>'Income Statement Working'!M2*Assumptions!K9</f>
        <v>6465.1460717884838</v>
      </c>
      <c r="N6" s="21">
        <f>'Income Statement Working'!N2*Assumptions!L9</f>
        <v>5079.7576278338092</v>
      </c>
    </row>
    <row r="7" spans="1:15" x14ac:dyDescent="0.3">
      <c r="A7" s="8" t="s">
        <v>68</v>
      </c>
      <c r="B7" s="20">
        <v>0</v>
      </c>
      <c r="C7" s="20">
        <v>748</v>
      </c>
      <c r="D7" s="20">
        <v>559</v>
      </c>
      <c r="E7" s="21">
        <f>'Net Working Capital'!E13-'Net Working Capital'!D13</f>
        <v>36.606999999999971</v>
      </c>
      <c r="F7" s="21">
        <f>'Net Working Capital'!F13-'Net Working Capital'!E13</f>
        <v>140.68956937500025</v>
      </c>
      <c r="G7" s="21">
        <f>'Net Working Capital'!G13-'Net Working Capital'!F13</f>
        <v>92.122759124999902</v>
      </c>
      <c r="H7" s="21">
        <f>'Net Working Capital'!H13-'Net Working Capital'!G13</f>
        <v>13.818413868750667</v>
      </c>
      <c r="I7" s="21">
        <f>'Net Working Capital'!I13-'Net Working Capital'!H13</f>
        <v>-159.85141163370008</v>
      </c>
      <c r="J7" s="21">
        <f>'Net Working Capital'!J13-'Net Working Capital'!I13</f>
        <v>244.3839463274935</v>
      </c>
      <c r="K7" s="21">
        <f>'Net Working Capital'!K13-'Net Working Capital'!J13</f>
        <v>186.26019693068429</v>
      </c>
      <c r="L7" s="21">
        <f>'Net Working Capital'!L13-'Net Working Capital'!K13</f>
        <v>109.8314294567931</v>
      </c>
      <c r="M7" s="21">
        <f>'Net Working Capital'!M13-'Net Working Capital'!L13</f>
        <v>-16.492719570888312</v>
      </c>
      <c r="N7" s="21">
        <f>'Net Working Capital'!N13-'Net Working Capital'!M13</f>
        <v>369.43691838791347</v>
      </c>
    </row>
    <row r="8" spans="1:15" x14ac:dyDescent="0.3">
      <c r="A8" s="8" t="s">
        <v>69</v>
      </c>
      <c r="B8" s="21">
        <f t="shared" ref="B8:N8" si="0">B4+B5-B6-B7</f>
        <v>-245.15441299999975</v>
      </c>
      <c r="C8" s="21">
        <f t="shared" si="0"/>
        <v>-600.92728799999986</v>
      </c>
      <c r="D8" s="21">
        <f t="shared" si="0"/>
        <v>847.00428000000011</v>
      </c>
      <c r="E8" s="21">
        <f t="shared" si="0"/>
        <v>1165.99973</v>
      </c>
      <c r="F8" s="21">
        <f t="shared" si="0"/>
        <v>798.96257369999876</v>
      </c>
      <c r="G8" s="21">
        <f t="shared" si="0"/>
        <v>851.21429431500019</v>
      </c>
      <c r="H8" s="21">
        <f t="shared" si="0"/>
        <v>847.60308215729901</v>
      </c>
      <c r="I8" s="21">
        <f t="shared" si="0"/>
        <v>3435.9172867265852</v>
      </c>
      <c r="J8" s="21">
        <f t="shared" si="0"/>
        <v>3754.0016144511919</v>
      </c>
      <c r="K8" s="21">
        <f t="shared" si="0"/>
        <v>5344.9226111229164</v>
      </c>
      <c r="L8" s="21">
        <f t="shared" si="0"/>
        <v>7773.6885254281424</v>
      </c>
      <c r="M8" s="21">
        <f t="shared" si="0"/>
        <v>9991.2895160445478</v>
      </c>
      <c r="N8" s="21">
        <f t="shared" si="0"/>
        <v>12634.742608866636</v>
      </c>
    </row>
    <row r="10" spans="1:15" x14ac:dyDescent="0.3">
      <c r="A10" s="8" t="s">
        <v>70</v>
      </c>
      <c r="D10" s="21">
        <f>D6/'Income Statement Working'!D2</f>
        <v>0.12630850818538161</v>
      </c>
      <c r="E10" s="21">
        <f>E6/'Income Statement Working'!E2</f>
        <v>0.14000000000000001</v>
      </c>
      <c r="F10" s="21">
        <f>F6/'Income Statement Working'!F2</f>
        <v>0.16</v>
      </c>
      <c r="G10" s="21">
        <f>G6/'Income Statement Working'!G2</f>
        <v>0.17</v>
      </c>
      <c r="H10" s="21">
        <f>H6/'Income Statement Working'!H2</f>
        <v>0.18</v>
      </c>
      <c r="I10" s="21">
        <f>I6/'Income Statement Working'!I2</f>
        <v>0.14000000000000001</v>
      </c>
      <c r="J10" s="21">
        <f>J6/'Income Statement Working'!J2</f>
        <v>0.13</v>
      </c>
      <c r="K10" s="21">
        <f>K6/'Income Statement Working'!K2</f>
        <v>0.11</v>
      </c>
      <c r="L10" s="21">
        <f>L6/'Income Statement Working'!L2</f>
        <v>0.09</v>
      </c>
      <c r="M10" s="21">
        <f>M6/'Income Statement Working'!M2</f>
        <v>7.0000000000000007E-2</v>
      </c>
      <c r="N10" s="21">
        <f>N6/'Income Statement Working'!N2</f>
        <v>5.000000000000001E-2</v>
      </c>
    </row>
    <row r="12" spans="1:15" x14ac:dyDescent="0.3">
      <c r="A12" s="8" t="s">
        <v>71</v>
      </c>
      <c r="E12" s="21">
        <f>(1+(Assumptions!$B$28/100))^1</f>
        <v>1.1430110658146369</v>
      </c>
      <c r="F12" s="21">
        <f>(1+(Assumptions!$B$28/100))^2</f>
        <v>1.306474296574712</v>
      </c>
      <c r="G12" s="21">
        <f>(1+(Assumptions!$B$28/100))^3</f>
        <v>1.4933145781872896</v>
      </c>
      <c r="H12" s="21">
        <f>(1+(Assumptions!$B$28/100))^4</f>
        <v>1.7068750876103886</v>
      </c>
      <c r="I12" s="21">
        <f>(1+(Assumptions!$B$28/100))^5</f>
        <v>1.9509771131020019</v>
      </c>
      <c r="J12" s="21">
        <f>(1+(Assumptions!$B$28/100))^6</f>
        <v>2.2299884294266823</v>
      </c>
      <c r="K12" s="21">
        <f>(1+(Assumptions!$B$28/100))^7</f>
        <v>2.5489014514733004</v>
      </c>
      <c r="L12" s="21">
        <f>(1+(Assumptions!$B$28/100))^8</f>
        <v>2.9134225647049719</v>
      </c>
      <c r="M12" s="21">
        <f>(1+(Assumptions!$B$28/100))^9</f>
        <v>3.3300742308518427</v>
      </c>
      <c r="N12" s="21">
        <f>(1+(Assumptions!$B$28/100))^10</f>
        <v>3.8063116958478216</v>
      </c>
    </row>
    <row r="13" spans="1:15" x14ac:dyDescent="0.3">
      <c r="A13" s="8" t="s">
        <v>72</v>
      </c>
      <c r="E13" s="21">
        <f t="shared" ref="E13:N13" si="1">E8/E12</f>
        <v>1020.1123723758342</v>
      </c>
      <c r="F13" s="21">
        <f t="shared" si="1"/>
        <v>611.54098155218412</v>
      </c>
      <c r="G13" s="21">
        <f t="shared" si="1"/>
        <v>570.01673106832948</v>
      </c>
      <c r="H13" s="21">
        <f t="shared" si="1"/>
        <v>496.58178756591758</v>
      </c>
      <c r="I13" s="21">
        <f t="shared" si="1"/>
        <v>1761.1263933606929</v>
      </c>
      <c r="J13" s="21">
        <f t="shared" si="1"/>
        <v>1683.4175302946862</v>
      </c>
      <c r="K13" s="21">
        <f t="shared" si="1"/>
        <v>2096.9514564925516</v>
      </c>
      <c r="L13" s="21">
        <f t="shared" si="1"/>
        <v>2668.2324148935622</v>
      </c>
      <c r="M13" s="21">
        <f t="shared" si="1"/>
        <v>3000.320360272794</v>
      </c>
      <c r="N13" s="21">
        <f t="shared" si="1"/>
        <v>3319.4188018415452</v>
      </c>
    </row>
    <row r="14" spans="1:15" x14ac:dyDescent="0.3">
      <c r="A14" s="8" t="s">
        <v>73</v>
      </c>
      <c r="N14" s="17">
        <v>0.05</v>
      </c>
      <c r="O14" s="20">
        <v>0.05</v>
      </c>
    </row>
    <row r="15" spans="1:15" x14ac:dyDescent="0.3">
      <c r="A15" s="8" t="s">
        <v>74</v>
      </c>
      <c r="I15" s="21"/>
      <c r="N15" s="21">
        <f>(N8*(1+0.05))/(Assumptions!C28-'Free Cash Flow Build'!O14)</f>
        <v>142633.34822706936</v>
      </c>
    </row>
    <row r="16" spans="1:15" x14ac:dyDescent="0.3">
      <c r="A16" s="8" t="s">
        <v>75</v>
      </c>
      <c r="I16" s="21"/>
      <c r="N16" s="21">
        <f>N15/N12</f>
        <v>37472.850261491541</v>
      </c>
    </row>
    <row r="17" spans="1:16" x14ac:dyDescent="0.3">
      <c r="N17" s="21"/>
    </row>
    <row r="18" spans="1:16" x14ac:dyDescent="0.3">
      <c r="A18" s="8" t="s">
        <v>76</v>
      </c>
      <c r="I18" s="21"/>
      <c r="N18" s="21">
        <f>SUM(E13:N13)+N16</f>
        <v>54700.56909120964</v>
      </c>
    </row>
    <row r="19" spans="1:16" x14ac:dyDescent="0.3">
      <c r="A19" s="21" t="s">
        <v>77</v>
      </c>
      <c r="D19" s="21">
        <f>SUM(540+1484)</f>
        <v>2024</v>
      </c>
      <c r="I19" s="21"/>
      <c r="N19" s="21"/>
    </row>
    <row r="20" spans="1:16" x14ac:dyDescent="0.3">
      <c r="A20" s="21" t="s">
        <v>78</v>
      </c>
      <c r="D20" s="21">
        <v>1998</v>
      </c>
      <c r="I20" s="21"/>
      <c r="N20" s="21"/>
    </row>
    <row r="21" spans="1:16" x14ac:dyDescent="0.3">
      <c r="A21" s="8" t="s">
        <v>79</v>
      </c>
      <c r="I21" s="21"/>
      <c r="N21" s="21">
        <f>(N18+D20)-(D19)</f>
        <v>54674.56909120964</v>
      </c>
    </row>
    <row r="23" spans="1:16" x14ac:dyDescent="0.3">
      <c r="A23" s="8" t="s">
        <v>80</v>
      </c>
      <c r="I23" s="20"/>
      <c r="N23" s="20">
        <v>338.2</v>
      </c>
    </row>
    <row r="24" spans="1:16" x14ac:dyDescent="0.3">
      <c r="A24" s="8" t="s">
        <v>81</v>
      </c>
      <c r="I24" s="21"/>
      <c r="N24" s="24">
        <f>N21/N23</f>
        <v>161.66342132232302</v>
      </c>
    </row>
    <row r="26" spans="1:16" x14ac:dyDescent="0.3">
      <c r="A26" s="8" t="s">
        <v>82</v>
      </c>
      <c r="N26">
        <v>407</v>
      </c>
    </row>
    <row r="28" spans="1:16" x14ac:dyDescent="0.3">
      <c r="A28" s="8" t="s">
        <v>83</v>
      </c>
      <c r="O28" s="24">
        <f>(N24-N26)/N24</f>
        <v>-1.517576311765215</v>
      </c>
      <c r="P28" s="21" t="s">
        <v>84</v>
      </c>
    </row>
  </sheetData>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38"/>
  <sheetViews>
    <sheetView showGridLines="0" zoomScaleNormal="100" workbookViewId="0">
      <pane xSplit="2" ySplit="6" topLeftCell="C7" activePane="bottomRight" state="frozen"/>
      <selection pane="topRight" activeCell="C1" sqref="C1"/>
      <selection pane="bottomLeft" activeCell="A7" sqref="A7"/>
      <selection pane="bottomRight" activeCell="H41" sqref="H41"/>
    </sheetView>
  </sheetViews>
  <sheetFormatPr defaultColWidth="8.6640625" defaultRowHeight="14.4" x14ac:dyDescent="0.3"/>
  <cols>
    <col min="1" max="1" width="3.44140625" style="8" customWidth="1"/>
    <col min="2" max="2" width="35.6640625" style="8" customWidth="1"/>
    <col min="3" max="7" width="13" style="8" customWidth="1"/>
    <col min="8" max="8" width="76.88671875" style="8" customWidth="1"/>
  </cols>
  <sheetData>
    <row r="1" spans="1:8" ht="21.75" customHeight="1" x14ac:dyDescent="0.3">
      <c r="A1" s="4" t="s">
        <v>461</v>
      </c>
      <c r="B1" s="4"/>
      <c r="C1" s="4"/>
      <c r="D1" s="4"/>
      <c r="E1" s="4"/>
      <c r="F1" s="4"/>
      <c r="G1" s="4"/>
      <c r="H1" s="4"/>
    </row>
    <row r="2" spans="1:8" ht="27.75" customHeight="1" x14ac:dyDescent="0.3">
      <c r="A2" s="73" t="s">
        <v>85</v>
      </c>
      <c r="B2" s="73"/>
      <c r="C2" s="73"/>
      <c r="D2" s="73"/>
      <c r="E2" s="73"/>
      <c r="F2" s="73"/>
      <c r="G2" s="73"/>
      <c r="H2" s="73"/>
    </row>
    <row r="4" spans="1:8" x14ac:dyDescent="0.3">
      <c r="A4" s="3" t="s">
        <v>86</v>
      </c>
      <c r="B4" s="3"/>
      <c r="C4" s="3"/>
      <c r="D4" s="3"/>
      <c r="E4" s="3"/>
      <c r="F4" s="3"/>
      <c r="G4" s="3"/>
      <c r="H4" s="3"/>
    </row>
    <row r="6" spans="1:8" ht="39.75" customHeight="1" x14ac:dyDescent="0.3">
      <c r="B6" s="74" t="s">
        <v>87</v>
      </c>
      <c r="C6" s="25">
        <f>Assumptions!$C$28-0.01</f>
        <v>0.13301106581463687</v>
      </c>
      <c r="D6" s="25">
        <f>Assumptions!$C$28-0.005</f>
        <v>0.13801106581463687</v>
      </c>
      <c r="E6" s="25">
        <f>Assumptions!$C$28</f>
        <v>0.14301106581463688</v>
      </c>
      <c r="F6" s="25">
        <f>Assumptions!$C$28+0.005</f>
        <v>0.14801106581463688</v>
      </c>
      <c r="G6" s="25">
        <f>Assumptions!$C$28+0.01</f>
        <v>0.15301106581463689</v>
      </c>
    </row>
    <row r="7" spans="1:8" ht="18" customHeight="1" x14ac:dyDescent="0.3">
      <c r="B7" s="25">
        <f>'Free Cash Flow Build'!$O$14-0.01</f>
        <v>0.04</v>
      </c>
      <c r="C7" s="26">
        <f>((SUMPRODUCT('Free Cash Flow Build'!$E$8:$N$8,(1+C$6)^-{1,2,3,4,5,6,7,8,9,10})+(('Free Cash Flow Build'!$N$8*(1+$B7))/(C$6-$B7))/(1+C$6)^10)+'Free Cash Flow Build'!$D$20-'Free Cash Flow Build'!$D$19)/'Free Cash Flow Build'!$N$23</f>
        <v>173.94741415292461</v>
      </c>
      <c r="D7" s="26">
        <f>((SUMPRODUCT('Free Cash Flow Build'!$E$8:$N$8,(1+D$6)^-{1,2,3,4,5,6,7,8,9,10})+(('Free Cash Flow Build'!$N$8*(1+$B7))/(D$6-$B7))/(1+D$6)^10)+'Free Cash Flow Build'!$D$20-'Free Cash Flow Build'!$D$19)/'Free Cash Flow Build'!$N$23</f>
        <v>161.2741771516699</v>
      </c>
      <c r="E7" s="26">
        <f>((SUMPRODUCT('Free Cash Flow Build'!$E$8:$N$8,(1+E$6)^-{1,2,3,4,5,6,7,8,9,10})+(('Free Cash Flow Build'!$N$8*(1+$B7))/(E$6-$B7))/(1+E$6)^10)+'Free Cash Flow Build'!$D$20-'Free Cash Flow Build'!$D$19)/'Free Cash Flow Build'!$N$23</f>
        <v>149.95440585698807</v>
      </c>
      <c r="F7" s="26">
        <f>((SUMPRODUCT('Free Cash Flow Build'!$E$8:$N$8,(1+F$6)^-{1,2,3,4,5,6,7,8,9,10})+(('Free Cash Flow Build'!$N$8*(1+$B7))/(F$6-$B7))/(1+F$6)^10)+'Free Cash Flow Build'!$D$20-'Free Cash Flow Build'!$D$19)/'Free Cash Flow Build'!$N$23</f>
        <v>139.79547276913908</v>
      </c>
      <c r="G7" s="26">
        <f>((SUMPRODUCT('Free Cash Flow Build'!$E$8:$N$8,(1+G$6)^-{1,2,3,4,5,6,7,8,9,10})+(('Free Cash Flow Build'!$N$8*(1+$B7))/(G$6-$B7))/(1+G$6)^10)+'Free Cash Flow Build'!$D$20-'Free Cash Flow Build'!$D$19)/'Free Cash Flow Build'!$N$23</f>
        <v>130.6390409132606</v>
      </c>
    </row>
    <row r="8" spans="1:8" ht="18" customHeight="1" x14ac:dyDescent="0.3">
      <c r="B8" s="25">
        <f>'Free Cash Flow Build'!$O$14-0.005</f>
        <v>4.5000000000000005E-2</v>
      </c>
      <c r="C8" s="26">
        <f>((SUMPRODUCT('Free Cash Flow Build'!$E$8:$N$8,(1+C$6)^-{1,2,3,4,5,6,7,8,9,10})+(('Free Cash Flow Build'!$N$8*(1+$B8))/(C$6-$B8))/(1+C$6)^10)+'Free Cash Flow Build'!$D$20-'Free Cash Flow Build'!$D$19)/'Free Cash Flow Build'!$N$23</f>
        <v>181.36365004334476</v>
      </c>
      <c r="D8" s="26">
        <f>((SUMPRODUCT('Free Cash Flow Build'!$E$8:$N$8,(1+D$6)^-{1,2,3,4,5,6,7,8,9,10})+(('Free Cash Flow Build'!$N$8*(1+$B8))/(D$6-$B8))/(1+D$6)^10)+'Free Cash Flow Build'!$D$20-'Free Cash Flow Build'!$D$19)/'Free Cash Flow Build'!$N$23</f>
        <v>167.67498369642288</v>
      </c>
      <c r="E8" s="26">
        <f>((SUMPRODUCT('Free Cash Flow Build'!$E$8:$N$8,(1+E$6)^-{1,2,3,4,5,6,7,8,9,10})+(('Free Cash Flow Build'!$N$8*(1+$B8))/(E$6-$B8))/(1+E$6)^10)+'Free Cash Flow Build'!$D$20-'Free Cash Flow Build'!$D$19)/'Free Cash Flow Build'!$N$23</f>
        <v>155.5102479398125</v>
      </c>
      <c r="F8" s="26">
        <f>((SUMPRODUCT('Free Cash Flow Build'!$E$8:$N$8,(1+F$6)^-{1,2,3,4,5,6,7,8,9,10})+(('Free Cash Flow Build'!$N$8*(1+$B8))/(F$6-$B8))/(1+F$6)^10)+'Free Cash Flow Build'!$D$20-'Free Cash Flow Build'!$D$19)/'Free Cash Flow Build'!$N$23</f>
        <v>144.64272924129708</v>
      </c>
      <c r="G8" s="26">
        <f>((SUMPRODUCT('Free Cash Flow Build'!$E$8:$N$8,(1+G$6)^-{1,2,3,4,5,6,7,8,9,10})+(('Free Cash Flow Build'!$N$8*(1+$B8))/(G$6-$B8))/(1+G$6)^10)+'Free Cash Flow Build'!$D$20-'Free Cash Flow Build'!$D$19)/'Free Cash Flow Build'!$N$23</f>
        <v>134.88789971999896</v>
      </c>
    </row>
    <row r="9" spans="1:8" ht="18" customHeight="1" x14ac:dyDescent="0.3">
      <c r="B9" s="25">
        <f>'Free Cash Flow Build'!$O$14</f>
        <v>0.05</v>
      </c>
      <c r="C9" s="26">
        <f>((SUMPRODUCT('Free Cash Flow Build'!$E$8:$N$8,(1+C$6)^-{1,2,3,4,5,6,7,8,9,10})+(('Free Cash Flow Build'!$N$8*(1+$B9))/(C$6-$B9))/(1+C$6)^10)+'Free Cash Flow Build'!$D$20-'Free Cash Flow Build'!$D$19)/'Free Cash Flow Build'!$N$23</f>
        <v>189.67328921893429</v>
      </c>
      <c r="D9" s="26">
        <f>((SUMPRODUCT('Free Cash Flow Build'!$E$8:$N$8,(1+D$6)^-{1,2,3,4,5,6,7,8,9,10})+(('Free Cash Flow Build'!$N$8*(1+$B9))/(D$6-$B9))/(1+D$6)^10)+'Free Cash Flow Build'!$D$20-'Free Cash Flow Build'!$D$19)/'Free Cash Flow Build'!$N$23</f>
        <v>174.80306316822279</v>
      </c>
      <c r="E9" s="27">
        <f>((SUMPRODUCT('Free Cash Flow Build'!$E$8:$N$8,(1+E$6)^-{1,2,3,4,5,6,7,8,9,10})+(('Free Cash Flow Build'!$N$8*(1+$B9))/(E$6-$B9))/(1+E$6)^10)+'Free Cash Flow Build'!$D$20-'Free Cash Flow Build'!$D$19)/'Free Cash Flow Build'!$N$23</f>
        <v>161.66342132232302</v>
      </c>
      <c r="F9" s="26">
        <f>((SUMPRODUCT('Free Cash Flow Build'!$E$8:$N$8,(1+F$6)^-{1,2,3,4,5,6,7,8,9,10})+(('Free Cash Flow Build'!$N$8*(1+$B9))/(F$6-$B9))/(1+F$6)^10)+'Free Cash Flow Build'!$D$20-'Free Cash Flow Build'!$D$19)/'Free Cash Flow Build'!$N$23</f>
        <v>149.98454787660148</v>
      </c>
      <c r="G9" s="26">
        <f>((SUMPRODUCT('Free Cash Flow Build'!$E$8:$N$8,(1+G$6)^-{1,2,3,4,5,6,7,8,9,10})+(('Free Cash Flow Build'!$N$8*(1+$B9))/(G$6-$B9))/(1+G$6)^10)+'Free Cash Flow Build'!$D$20-'Free Cash Flow Build'!$D$19)/'Free Cash Flow Build'!$N$23</f>
        <v>139.54922477714808</v>
      </c>
    </row>
    <row r="10" spans="1:8" ht="18" customHeight="1" x14ac:dyDescent="0.3">
      <c r="B10" s="25">
        <f>'Free Cash Flow Build'!$O$14+0.005</f>
        <v>5.5E-2</v>
      </c>
      <c r="C10" s="26">
        <f>((SUMPRODUCT('Free Cash Flow Build'!$E$8:$N$8,(1+C$6)^-{1,2,3,4,5,6,7,8,9,10})+(('Free Cash Flow Build'!$N$8*(1+$B10))/(C$6-$B10))/(1+C$6)^10)+'Free Cash Flow Build'!$D$20-'Free Cash Flow Build'!$D$19)/'Free Cash Flow Build'!$N$23</f>
        <v>199.04811563287456</v>
      </c>
      <c r="D10" s="26">
        <f>((SUMPRODUCT('Free Cash Flow Build'!$E$8:$N$8,(1+D$6)^-{1,2,3,4,5,6,7,8,9,10})+(('Free Cash Flow Build'!$N$8*(1+$B10))/(D$6-$B10))/(1+D$6)^10)+'Free Cash Flow Build'!$D$20-'Free Cash Flow Build'!$D$19)/'Free Cash Flow Build'!$N$23</f>
        <v>182.78983291243972</v>
      </c>
      <c r="E10" s="26">
        <f>((SUMPRODUCT('Free Cash Flow Build'!$E$8:$N$8,(1+E$6)^-{1,2,3,4,5,6,7,8,9,10})+(('Free Cash Flow Build'!$N$8*(1+$B10))/(E$6-$B10))/(1+E$6)^10)+'Free Cash Flow Build'!$D$20-'Free Cash Flow Build'!$D$19)/'Free Cash Flow Build'!$N$23</f>
        <v>168.51573103792484</v>
      </c>
      <c r="F10" s="26">
        <f>((SUMPRODUCT('Free Cash Flow Build'!$E$8:$N$8,(1+F$6)^-{1,2,3,4,5,6,7,8,9,10})+(('Free Cash Flow Build'!$N$8*(1+$B10))/(F$6-$B10))/(1+F$6)^10)+'Free Cash Flow Build'!$D$20-'Free Cash Flow Build'!$D$19)/'Free Cash Flow Build'!$N$23</f>
        <v>155.90068727562559</v>
      </c>
      <c r="G10" s="26">
        <f>((SUMPRODUCT('Free Cash Flow Build'!$E$8:$N$8,(1+G$6)^-{1,2,3,4,5,6,7,8,9,10})+(('Free Cash Flow Build'!$N$8*(1+$B10))/(G$6-$B10))/(1+G$6)^10)+'Free Cash Flow Build'!$D$20-'Free Cash Flow Build'!$D$19)/'Free Cash Flow Build'!$N$23</f>
        <v>144.68614154615196</v>
      </c>
    </row>
    <row r="11" spans="1:8" ht="18" customHeight="1" x14ac:dyDescent="0.3">
      <c r="B11" s="25">
        <f>'Free Cash Flow Build'!$O$14+0.01</f>
        <v>6.0000000000000005E-2</v>
      </c>
      <c r="C11" s="26">
        <f>((SUMPRODUCT('Free Cash Flow Build'!$E$8:$N$8,(1+C$6)^-{1,2,3,4,5,6,7,8,9,10})+(('Free Cash Flow Build'!$N$8*(1+$B11))/(C$6-$B11))/(1+C$6)^10)+'Free Cash Flow Build'!$D$20-'Free Cash Flow Build'!$D$19)/'Free Cash Flow Build'!$N$23</f>
        <v>209.70697020190869</v>
      </c>
      <c r="D11" s="26">
        <f>((SUMPRODUCT('Free Cash Flow Build'!$E$8:$N$8,(1+D$6)^-{1,2,3,4,5,6,7,8,9,10})+(('Free Cash Flow Build'!$N$8*(1+$B11))/(D$6-$B11))/(1+D$6)^10)+'Free Cash Flow Build'!$D$20-'Free Cash Flow Build'!$D$19)/'Free Cash Flow Build'!$N$23</f>
        <v>191.80040224980598</v>
      </c>
      <c r="E11" s="26">
        <f>((SUMPRODUCT('Free Cash Flow Build'!$E$8:$N$8,(1+E$6)^-{1,2,3,4,5,6,7,8,9,10})+(('Free Cash Flow Build'!$N$8*(1+$B11))/(E$6-$B11))/(1+E$6)^10)+'Free Cash Flow Build'!$D$20-'Free Cash Flow Build'!$D$19)/'Free Cash Flow Build'!$N$23</f>
        <v>176.19351018321731</v>
      </c>
      <c r="F11" s="26">
        <f>((SUMPRODUCT('Free Cash Flow Build'!$E$8:$N$8,(1+F$6)^-{1,2,3,4,5,6,7,8,9,10})+(('Free Cash Flow Build'!$N$8*(1+$B11))/(F$6-$B11))/(1+F$6)^10)+'Free Cash Flow Build'!$D$20-'Free Cash Flow Build'!$D$19)/'Free Cash Flow Build'!$N$23</f>
        <v>162.48903071447859</v>
      </c>
      <c r="G11" s="26">
        <f>((SUMPRODUCT('Free Cash Flow Build'!$E$8:$N$8,(1+G$6)^-{1,2,3,4,5,6,7,8,9,10})+(('Free Cash Flow Build'!$N$8*(1+$B11))/(G$6-$B11))/(1+G$6)^10)+'Free Cash Flow Build'!$D$20-'Free Cash Flow Build'!$D$19)/'Free Cash Flow Build'!$N$23</f>
        <v>150.3753492414034</v>
      </c>
    </row>
    <row r="12" spans="1:8" x14ac:dyDescent="0.3">
      <c r="A12" s="73" t="s">
        <v>88</v>
      </c>
      <c r="B12" s="73"/>
      <c r="C12" s="73"/>
      <c r="D12" s="73"/>
      <c r="E12" s="73"/>
      <c r="F12" s="73"/>
      <c r="G12" s="73"/>
      <c r="H12" s="73"/>
    </row>
    <row r="14" spans="1:8" x14ac:dyDescent="0.3">
      <c r="A14" s="75" t="s">
        <v>89</v>
      </c>
      <c r="B14" s="75"/>
      <c r="C14" s="75"/>
      <c r="D14" s="75"/>
      <c r="E14" s="75"/>
      <c r="F14" s="75"/>
      <c r="G14" s="75"/>
      <c r="H14" s="75"/>
    </row>
    <row r="16" spans="1:8" ht="39.75" customHeight="1" x14ac:dyDescent="0.3">
      <c r="B16" s="74" t="s">
        <v>87</v>
      </c>
      <c r="C16" s="25">
        <f>C6</f>
        <v>0.13301106581463687</v>
      </c>
      <c r="D16" s="25">
        <f>D6</f>
        <v>0.13801106581463687</v>
      </c>
      <c r="E16" s="25">
        <f>E6</f>
        <v>0.14301106581463688</v>
      </c>
      <c r="F16" s="25">
        <f>F6</f>
        <v>0.14801106581463688</v>
      </c>
      <c r="G16" s="25">
        <f>G6</f>
        <v>0.15301106581463689</v>
      </c>
    </row>
    <row r="17" spans="1:8" ht="18" customHeight="1" x14ac:dyDescent="0.3">
      <c r="B17" s="25">
        <f>B7</f>
        <v>0.04</v>
      </c>
      <c r="C17" s="28">
        <f>(C7-'Free Cash Flow Build'!$N$26)/C7</f>
        <v>-1.3397875845523572</v>
      </c>
      <c r="D17" s="28">
        <f>(D7-'Free Cash Flow Build'!$N$26)/D7</f>
        <v>-1.5236526218158153</v>
      </c>
      <c r="E17" s="28">
        <f>(E7-'Free Cash Flow Build'!$N$26)/E7</f>
        <v>-1.7141583314874858</v>
      </c>
      <c r="F17" s="28">
        <f>(F7-'Free Cash Flow Build'!$N$26)/F7</f>
        <v>-1.9113961413623712</v>
      </c>
      <c r="G17" s="28">
        <f>(G7-'Free Cash Flow Build'!$N$26)/G7</f>
        <v>-2.115454592706576</v>
      </c>
    </row>
    <row r="18" spans="1:8" ht="18" customHeight="1" x14ac:dyDescent="0.3">
      <c r="B18" s="25">
        <f>B8</f>
        <v>4.5000000000000005E-2</v>
      </c>
      <c r="C18" s="28">
        <f>(C8-'Free Cash Flow Build'!$N$26)/C8</f>
        <v>-1.2441101064228117</v>
      </c>
      <c r="D18" s="28">
        <f>(D8-'Free Cash Flow Build'!$N$26)/D8</f>
        <v>-1.4273149818035902</v>
      </c>
      <c r="E18" s="28">
        <f>(E8-'Free Cash Flow Build'!$N$26)/E8</f>
        <v>-1.617190862929639</v>
      </c>
      <c r="F18" s="28">
        <f>(F8-'Free Cash Flow Build'!$N$26)/F8</f>
        <v>-1.8138296486443586</v>
      </c>
      <c r="G18" s="28">
        <f>(G8-'Free Cash Flow Build'!$N$26)/G8</f>
        <v>-2.0173203144600285</v>
      </c>
    </row>
    <row r="19" spans="1:8" ht="18" customHeight="1" x14ac:dyDescent="0.3">
      <c r="B19" s="25">
        <f>B9</f>
        <v>0.05</v>
      </c>
      <c r="C19" s="28">
        <f>(C9-'Free Cash Flow Build'!$N$26)/C9</f>
        <v>-1.1457950229893039</v>
      </c>
      <c r="D19" s="28">
        <f>(D9-'Free Cash Flow Build'!$N$26)/D9</f>
        <v>-1.3283344846670169</v>
      </c>
      <c r="E19" s="29">
        <f>(E9-'Free Cash Flow Build'!$N$26)/E9</f>
        <v>-1.517576311765215</v>
      </c>
      <c r="F19" s="28">
        <f>(F9-'Free Cash Flow Build'!$N$26)/F9</f>
        <v>-1.7136128738732193</v>
      </c>
      <c r="G19" s="28">
        <f>(G9-'Free Cash Flow Build'!$N$26)/G9</f>
        <v>-1.9165335791005296</v>
      </c>
    </row>
    <row r="20" spans="1:8" ht="18" customHeight="1" x14ac:dyDescent="0.3">
      <c r="B20" s="25">
        <f>B10</f>
        <v>5.5E-2</v>
      </c>
      <c r="C20" s="28">
        <f>(C10-'Free Cash Flow Build'!$N$26)/C10</f>
        <v>-1.0447317408956187</v>
      </c>
      <c r="D20" s="28">
        <f>(D10-'Free Cash Flow Build'!$N$26)/D10</f>
        <v>-1.2266008645839825</v>
      </c>
      <c r="E20" s="28">
        <f>(E10-'Free Cash Flow Build'!$N$26)/E10</f>
        <v>-1.4152047852933312</v>
      </c>
      <c r="F20" s="28">
        <f>(F10-'Free Cash Flow Build'!$N$26)/F10</f>
        <v>-1.6106363423558347</v>
      </c>
      <c r="G20" s="28">
        <f>(G10-'Free Cash Flow Build'!$N$26)/G10</f>
        <v>-1.812985374070365</v>
      </c>
    </row>
    <row r="21" spans="1:8" ht="18" customHeight="1" x14ac:dyDescent="0.3">
      <c r="B21" s="25">
        <f>B11</f>
        <v>6.0000000000000005E-2</v>
      </c>
      <c r="C21" s="28">
        <f>(C11-'Free Cash Flow Build'!$N$26)/C11</f>
        <v>-0.94080339632075616</v>
      </c>
      <c r="D21" s="28">
        <f>(D11-'Free Cash Flow Build'!$N$26)/D11</f>
        <v>-1.1219976351765535</v>
      </c>
      <c r="E21" s="28">
        <f>(E11-'Free Cash Flow Build'!$N$26)/E11</f>
        <v>-1.3099602225801352</v>
      </c>
      <c r="F21" s="28">
        <f>(F11-'Free Cash Flow Build'!$N$26)/F11</f>
        <v>-1.5047844658213858</v>
      </c>
      <c r="G21" s="28">
        <f>(G11-'Free Cash Flow Build'!$N$26)/G11</f>
        <v>-1.7065606301377698</v>
      </c>
    </row>
    <row r="22" spans="1:8" x14ac:dyDescent="0.3">
      <c r="A22" s="73" t="s">
        <v>90</v>
      </c>
      <c r="B22" s="73"/>
      <c r="C22" s="73"/>
      <c r="D22" s="73"/>
      <c r="E22" s="73"/>
      <c r="F22" s="73"/>
      <c r="G22" s="73"/>
      <c r="H22" s="73"/>
    </row>
    <row r="24" spans="1:8" x14ac:dyDescent="0.3">
      <c r="A24" s="75" t="s">
        <v>91</v>
      </c>
      <c r="B24" s="75"/>
      <c r="C24" s="75"/>
      <c r="D24" s="75"/>
      <c r="E24" s="75"/>
      <c r="F24" s="75"/>
      <c r="G24" s="75"/>
      <c r="H24" s="75"/>
    </row>
    <row r="26" spans="1:8" x14ac:dyDescent="0.3">
      <c r="B26" s="30" t="s">
        <v>92</v>
      </c>
      <c r="D26" s="31">
        <f>Assumptions!$C$28</f>
        <v>0.14301106581463688</v>
      </c>
    </row>
    <row r="27" spans="1:8" x14ac:dyDescent="0.3">
      <c r="B27" s="30" t="s">
        <v>93</v>
      </c>
      <c r="D27" s="31">
        <f>'Free Cash Flow Build'!$O$14</f>
        <v>0.05</v>
      </c>
    </row>
    <row r="28" spans="1:8" x14ac:dyDescent="0.3">
      <c r="B28" s="30" t="s">
        <v>94</v>
      </c>
      <c r="D28" s="32">
        <f>'Free Cash Flow Build'!$N$24</f>
        <v>161.66342132232302</v>
      </c>
    </row>
    <row r="29" spans="1:8" x14ac:dyDescent="0.3">
      <c r="B29" s="30" t="s">
        <v>95</v>
      </c>
      <c r="D29" s="32">
        <f>E9</f>
        <v>161.66342132232302</v>
      </c>
    </row>
    <row r="30" spans="1:8" x14ac:dyDescent="0.3">
      <c r="B30" s="30" t="s">
        <v>96</v>
      </c>
      <c r="D30" s="33">
        <f>'Free Cash Flow Build'!$O$28</f>
        <v>-1.517576311765215</v>
      </c>
    </row>
    <row r="31" spans="1:8" x14ac:dyDescent="0.3">
      <c r="B31" s="30" t="s">
        <v>97</v>
      </c>
      <c r="D31" s="33">
        <f>E19</f>
        <v>-1.517576311765215</v>
      </c>
    </row>
    <row r="33" spans="1:8" x14ac:dyDescent="0.3">
      <c r="A33" s="75" t="s">
        <v>98</v>
      </c>
      <c r="B33" s="75"/>
      <c r="C33" s="75"/>
      <c r="D33" s="75"/>
      <c r="E33" s="75"/>
      <c r="F33" s="75"/>
      <c r="G33" s="75"/>
      <c r="H33" s="75"/>
    </row>
    <row r="34" spans="1:8" ht="27.75" customHeight="1" x14ac:dyDescent="0.3">
      <c r="B34" s="73" t="s">
        <v>99</v>
      </c>
      <c r="C34" s="73"/>
      <c r="D34" s="73"/>
      <c r="E34" s="73"/>
      <c r="F34" s="73"/>
      <c r="G34" s="73"/>
      <c r="H34" s="73"/>
    </row>
    <row r="35" spans="1:8" ht="27.75" customHeight="1" x14ac:dyDescent="0.3">
      <c r="B35" s="73" t="s">
        <v>100</v>
      </c>
      <c r="C35" s="73"/>
      <c r="D35" s="73"/>
      <c r="E35" s="73"/>
      <c r="F35" s="73"/>
      <c r="G35" s="73"/>
      <c r="H35" s="73"/>
    </row>
    <row r="36" spans="1:8" ht="27.75" customHeight="1" x14ac:dyDescent="0.3">
      <c r="B36" s="73" t="s">
        <v>101</v>
      </c>
      <c r="C36" s="73"/>
      <c r="D36" s="73"/>
      <c r="E36" s="73"/>
      <c r="F36" s="73"/>
      <c r="G36" s="73"/>
      <c r="H36" s="73"/>
    </row>
    <row r="37" spans="1:8" ht="27.75" customHeight="1" x14ac:dyDescent="0.3">
      <c r="B37" s="73" t="s">
        <v>102</v>
      </c>
      <c r="C37" s="73"/>
      <c r="D37" s="73"/>
      <c r="E37" s="73"/>
      <c r="F37" s="73"/>
      <c r="G37" s="73"/>
      <c r="H37" s="73"/>
    </row>
    <row r="38" spans="1:8" ht="27.75" customHeight="1" x14ac:dyDescent="0.3">
      <c r="B38" s="73" t="s">
        <v>103</v>
      </c>
      <c r="C38" s="73"/>
      <c r="D38" s="73"/>
      <c r="E38" s="73"/>
      <c r="F38" s="73"/>
      <c r="G38" s="73"/>
      <c r="H38" s="73"/>
    </row>
  </sheetData>
  <mergeCells count="13">
    <mergeCell ref="B36:H36"/>
    <mergeCell ref="B37:H37"/>
    <mergeCell ref="B38:H38"/>
    <mergeCell ref="A22:H22"/>
    <mergeCell ref="A24:H24"/>
    <mergeCell ref="A33:H33"/>
    <mergeCell ref="B34:H34"/>
    <mergeCell ref="B35:H35"/>
    <mergeCell ref="A1:H1"/>
    <mergeCell ref="A2:H2"/>
    <mergeCell ref="A4:H4"/>
    <mergeCell ref="A12:H12"/>
    <mergeCell ref="A14:H14"/>
  </mergeCells>
  <conditionalFormatting sqref="C7:G11">
    <cfRule type="colorScale" priority="2">
      <colorScale>
        <cfvo type="min"/>
        <cfvo type="percentile" val="50"/>
        <cfvo type="max"/>
        <color rgb="FFF8696B"/>
        <color rgb="FFFFEB84"/>
        <color rgb="FF63BE7B"/>
      </colorScale>
    </cfRule>
  </conditionalFormatting>
  <conditionalFormatting sqref="C17:G21">
    <cfRule type="colorScale" priority="3">
      <colorScale>
        <cfvo type="num" val="-2"/>
        <cfvo type="num" val="0"/>
        <cfvo type="num" val="0.5"/>
        <color rgb="FFF8696B"/>
        <color rgb="FFFFFFFF"/>
        <color rgb="FF63BE7B"/>
      </colorScale>
    </cfRule>
  </conditionalFormatting>
  <pageMargins left="0.75" right="0.75" top="1" bottom="1"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N19"/>
  <sheetViews>
    <sheetView showGridLines="0" zoomScaleNormal="100" workbookViewId="0">
      <pane ySplit="1" topLeftCell="A2" activePane="bottomLeft" state="frozen"/>
      <selection pane="bottomLeft" activeCell="D18" sqref="D18"/>
    </sheetView>
  </sheetViews>
  <sheetFormatPr defaultColWidth="8.6640625" defaultRowHeight="14.4" x14ac:dyDescent="0.3"/>
  <cols>
    <col min="1" max="1" width="26.88671875" style="8" customWidth="1"/>
    <col min="5" max="9" width="11.33203125" style="8" customWidth="1"/>
  </cols>
  <sheetData>
    <row r="1" spans="1:14" x14ac:dyDescent="0.3">
      <c r="A1" s="23" t="s">
        <v>47</v>
      </c>
      <c r="B1" s="14">
        <v>45261</v>
      </c>
      <c r="C1" s="14">
        <v>45627</v>
      </c>
      <c r="D1" s="14">
        <v>45992</v>
      </c>
      <c r="E1" s="14" t="s">
        <v>19</v>
      </c>
      <c r="F1" s="14" t="s">
        <v>20</v>
      </c>
      <c r="G1" s="14" t="s">
        <v>21</v>
      </c>
      <c r="H1" s="14" t="s">
        <v>22</v>
      </c>
      <c r="I1" s="14" t="s">
        <v>23</v>
      </c>
      <c r="J1" s="14" t="s">
        <v>24</v>
      </c>
      <c r="K1" s="14" t="s">
        <v>25</v>
      </c>
      <c r="L1" s="14" t="s">
        <v>26</v>
      </c>
      <c r="M1" s="14" t="s">
        <v>27</v>
      </c>
      <c r="N1" s="14" t="s">
        <v>28</v>
      </c>
    </row>
    <row r="2" spans="1:14" x14ac:dyDescent="0.3">
      <c r="A2" s="8" t="s">
        <v>104</v>
      </c>
      <c r="B2" s="20">
        <v>2151</v>
      </c>
      <c r="C2" s="20">
        <v>2791</v>
      </c>
      <c r="D2" s="20">
        <v>2952</v>
      </c>
    </row>
    <row r="3" spans="1:14" x14ac:dyDescent="0.3">
      <c r="A3" s="8" t="s">
        <v>105</v>
      </c>
      <c r="B3" s="20">
        <v>359</v>
      </c>
      <c r="C3" s="20">
        <v>846</v>
      </c>
      <c r="D3" s="20">
        <v>1249</v>
      </c>
    </row>
    <row r="4" spans="1:14" x14ac:dyDescent="0.3">
      <c r="A4" s="8" t="s">
        <v>106</v>
      </c>
      <c r="B4" s="20">
        <v>1612</v>
      </c>
      <c r="C4" s="20">
        <v>1745</v>
      </c>
      <c r="D4" s="20">
        <v>1837</v>
      </c>
    </row>
    <row r="5" spans="1:14" x14ac:dyDescent="0.3">
      <c r="A5" s="8" t="s">
        <v>107</v>
      </c>
      <c r="B5" s="20">
        <v>253</v>
      </c>
      <c r="C5" s="20">
        <v>664</v>
      </c>
      <c r="D5" s="20">
        <v>300</v>
      </c>
    </row>
    <row r="6" spans="1:14" x14ac:dyDescent="0.3">
      <c r="A6" s="21" t="s">
        <v>108</v>
      </c>
      <c r="B6" s="21">
        <f>SUM(B2:B5)</f>
        <v>4375</v>
      </c>
      <c r="C6" s="21">
        <f>SUM(C2:C5)</f>
        <v>6046</v>
      </c>
      <c r="D6" s="21">
        <f>SUM(D2:D5)+1</f>
        <v>6339</v>
      </c>
    </row>
    <row r="8" spans="1:14" x14ac:dyDescent="0.3">
      <c r="A8" s="8" t="s">
        <v>109</v>
      </c>
      <c r="B8" s="20">
        <v>758</v>
      </c>
      <c r="C8" s="20">
        <v>1560</v>
      </c>
      <c r="D8" s="20">
        <v>1401</v>
      </c>
    </row>
    <row r="9" spans="1:14" x14ac:dyDescent="0.3">
      <c r="A9" s="8" t="s">
        <v>110</v>
      </c>
      <c r="B9" s="20">
        <v>180</v>
      </c>
      <c r="C9" s="20">
        <v>219</v>
      </c>
      <c r="D9" s="20">
        <v>159</v>
      </c>
    </row>
    <row r="10" spans="1:14" x14ac:dyDescent="0.3">
      <c r="A10" s="8" t="s">
        <v>111</v>
      </c>
      <c r="B10" s="20">
        <v>1732</v>
      </c>
      <c r="C10" s="20">
        <v>1778</v>
      </c>
      <c r="D10" s="20">
        <v>1731</v>
      </c>
    </row>
    <row r="11" spans="1:14" x14ac:dyDescent="0.3">
      <c r="A11" s="21" t="s">
        <v>112</v>
      </c>
      <c r="B11" s="21">
        <f>SUM(B8:B10)+1</f>
        <v>2671</v>
      </c>
      <c r="C11" s="21">
        <f>SUM(C8:C10)+1</f>
        <v>3558</v>
      </c>
      <c r="D11" s="21">
        <f>SUM(D8:D10)+1</f>
        <v>3292</v>
      </c>
    </row>
    <row r="13" spans="1:14" x14ac:dyDescent="0.3">
      <c r="A13" s="21" t="s">
        <v>113</v>
      </c>
      <c r="B13" s="21">
        <f>B6-B11</f>
        <v>1704</v>
      </c>
      <c r="C13" s="21">
        <f>C6-C11</f>
        <v>2488</v>
      </c>
      <c r="D13" s="21">
        <f>D6-D11</f>
        <v>3047</v>
      </c>
      <c r="E13" s="21">
        <f>'Income Statement Working'!E2*Assumptions!C11</f>
        <v>3083.607</v>
      </c>
      <c r="F13" s="21">
        <f>'Income Statement Working'!F2*Assumptions!D11</f>
        <v>3224.2965693750002</v>
      </c>
      <c r="G13" s="21">
        <f>'Income Statement Working'!G2*Assumptions!E11</f>
        <v>3316.4193285000001</v>
      </c>
      <c r="H13" s="21">
        <f>'Income Statement Working'!H2*Assumptions!F11</f>
        <v>3330.2377423687508</v>
      </c>
      <c r="I13" s="21">
        <f>'Income Statement Working'!I2*Assumptions!G11</f>
        <v>3170.3863307350507</v>
      </c>
      <c r="J13" s="21">
        <f>'Income Statement Working'!J2*Assumptions!H11</f>
        <v>3414.7702770625442</v>
      </c>
      <c r="K13" s="21">
        <f>'Income Statement Working'!K2*Assumptions!I11</f>
        <v>3601.0304739932285</v>
      </c>
      <c r="L13" s="21">
        <f>'Income Statement Working'!L2*Assumptions!J11</f>
        <v>3710.8619034500216</v>
      </c>
      <c r="M13" s="21">
        <f>'Income Statement Working'!M2*Assumptions!K11</f>
        <v>3694.3691838791333</v>
      </c>
      <c r="N13" s="21">
        <f>'Income Statement Working'!N2*Assumptions!L11</f>
        <v>4063.8061022670468</v>
      </c>
    </row>
    <row r="14" spans="1:14" x14ac:dyDescent="0.3">
      <c r="A14" s="21" t="s">
        <v>114</v>
      </c>
      <c r="B14" s="34" t="s">
        <v>115</v>
      </c>
      <c r="C14" s="21">
        <f t="shared" ref="C14:N14" si="0">C13-B13</f>
        <v>784</v>
      </c>
      <c r="D14" s="21">
        <f t="shared" si="0"/>
        <v>559</v>
      </c>
      <c r="E14" s="21">
        <f t="shared" si="0"/>
        <v>36.606999999999971</v>
      </c>
      <c r="F14" s="21">
        <f t="shared" si="0"/>
        <v>140.68956937500025</v>
      </c>
      <c r="G14" s="21">
        <f t="shared" si="0"/>
        <v>92.122759124999902</v>
      </c>
      <c r="H14" s="21">
        <f t="shared" si="0"/>
        <v>13.818413868750667</v>
      </c>
      <c r="I14" s="21">
        <f t="shared" si="0"/>
        <v>-159.85141163370008</v>
      </c>
      <c r="J14" s="21">
        <f t="shared" si="0"/>
        <v>244.3839463274935</v>
      </c>
      <c r="K14" s="21">
        <f t="shared" si="0"/>
        <v>186.26019693068429</v>
      </c>
      <c r="L14" s="21">
        <f t="shared" si="0"/>
        <v>109.8314294567931</v>
      </c>
      <c r="M14" s="21">
        <f t="shared" si="0"/>
        <v>-16.492719570888312</v>
      </c>
      <c r="N14" s="21">
        <f t="shared" si="0"/>
        <v>369.43691838791347</v>
      </c>
    </row>
    <row r="15" spans="1:14" x14ac:dyDescent="0.3">
      <c r="A15" s="21" t="s">
        <v>116</v>
      </c>
      <c r="D15" s="21">
        <f>D13/'Income Statement Working'!D2</f>
        <v>0.1405118745676735</v>
      </c>
    </row>
    <row r="18" spans="1:4" x14ac:dyDescent="0.3">
      <c r="A18" s="21" t="s">
        <v>77</v>
      </c>
      <c r="D18" s="21">
        <f>SUM(540+1484)</f>
        <v>2024</v>
      </c>
    </row>
    <row r="19" spans="1:4" x14ac:dyDescent="0.3">
      <c r="A19" s="21" t="s">
        <v>78</v>
      </c>
      <c r="D19" s="21">
        <v>1998</v>
      </c>
    </row>
  </sheetData>
  <pageMargins left="0.7" right="0.7" top="0.75" bottom="0.75" header="0.511811023622047" footer="0.511811023622047"/>
  <pageSetup paperSize="9" orientation="portrait" horizontalDpi="300" verticalDpi="300"/>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N37"/>
  <sheetViews>
    <sheetView showGridLines="0" zoomScale="101" zoomScaleNormal="101" workbookViewId="0">
      <pane ySplit="1" topLeftCell="A2" activePane="bottomLeft" state="frozen"/>
      <selection pane="bottomLeft" activeCell="I16" sqref="I16"/>
    </sheetView>
  </sheetViews>
  <sheetFormatPr defaultColWidth="8.6640625" defaultRowHeight="14.4" x14ac:dyDescent="0.3"/>
  <cols>
    <col min="1" max="1" width="25.109375" style="8" customWidth="1"/>
    <col min="12" max="12" width="9.6640625" style="8" customWidth="1"/>
  </cols>
  <sheetData>
    <row r="1" spans="1:14" x14ac:dyDescent="0.3">
      <c r="B1" s="35">
        <v>42705</v>
      </c>
      <c r="C1" s="35">
        <v>43070</v>
      </c>
      <c r="D1" s="35">
        <v>43435</v>
      </c>
      <c r="E1" s="35">
        <v>43800</v>
      </c>
      <c r="F1" s="35">
        <v>44166</v>
      </c>
      <c r="G1" s="35">
        <v>44531</v>
      </c>
      <c r="H1" s="35">
        <v>44896</v>
      </c>
      <c r="I1" s="35">
        <v>45261</v>
      </c>
      <c r="J1" s="35">
        <v>45627</v>
      </c>
      <c r="K1" s="35">
        <v>45992</v>
      </c>
      <c r="L1" s="36" t="s">
        <v>117</v>
      </c>
      <c r="M1" s="36" t="s">
        <v>118</v>
      </c>
      <c r="N1" s="36" t="s">
        <v>119</v>
      </c>
    </row>
    <row r="2" spans="1:14" x14ac:dyDescent="0.3">
      <c r="A2" s="8" t="s">
        <v>120</v>
      </c>
      <c r="B2" s="37"/>
      <c r="C2" s="37">
        <f>(IncomeStatement!C3-IncomeStatement!B3)/IncomeStatement!B3</f>
        <v>3.6853827825546512E-2</v>
      </c>
      <c r="D2" s="37">
        <f>(IncomeStatement!D3-IncomeStatement!C3)/IncomeStatement!C3</f>
        <v>0.27520919195703764</v>
      </c>
      <c r="E2" s="37">
        <f>(IncomeStatement!E3-IncomeStatement!D3)/IncomeStatement!D3</f>
        <v>0.39650950972518756</v>
      </c>
      <c r="F2" s="37">
        <f>(IncomeStatement!F3-IncomeStatement!E3)/IncomeStatement!E3</f>
        <v>-9.5306889587073604E-2</v>
      </c>
      <c r="G2" s="37">
        <f>(IncomeStatement!G3-IncomeStatement!F3)/IncomeStatement!F3</f>
        <v>0.36791677648408555</v>
      </c>
      <c r="H2" s="37">
        <f>(IncomeStatement!H3-IncomeStatement!G3)/IncomeStatement!G3</f>
        <v>0.49300707226403112</v>
      </c>
      <c r="I2" s="37">
        <f>(IncomeStatement!I3-IncomeStatement!H3)/IncomeStatement!H3</f>
        <v>0.21783027533382424</v>
      </c>
      <c r="J2" s="37">
        <f>(IncomeStatement!J3-IncomeStatement!I3)/IncomeStatement!I3</f>
        <v>0.24716068467704738</v>
      </c>
      <c r="K2" s="37">
        <f>(IncomeStatement!K3-IncomeStatement!J3)/IncomeStatement!J3</f>
        <v>8.3852716704068964E-2</v>
      </c>
      <c r="M2" s="37">
        <f t="shared" ref="M2:M7" si="0">AVERAGE(C2:K2)</f>
        <v>0.22478146282041728</v>
      </c>
      <c r="N2" s="37">
        <f t="shared" ref="N2:N7" si="1">MEDIAN(C2:K2)</f>
        <v>0.24716068467704738</v>
      </c>
    </row>
    <row r="3" spans="1:14" x14ac:dyDescent="0.3">
      <c r="A3" s="8" t="s">
        <v>121</v>
      </c>
      <c r="B3" s="37"/>
      <c r="C3" s="37">
        <f>(IncomeStatement!C15-IncomeStatement!B15)/IncomeStatement!B15</f>
        <v>3.5577516985793645E-2</v>
      </c>
      <c r="D3" s="37">
        <f>(IncomeStatement!D15-IncomeStatement!C15)/IncomeStatement!C15</f>
        <v>0.23559584874150066</v>
      </c>
      <c r="E3" s="37">
        <f>(IncomeStatement!E15-IncomeStatement!D15)/IncomeStatement!D15</f>
        <v>0.41175902683915816</v>
      </c>
      <c r="F3" s="37">
        <f>(IncomeStatement!F15-IncomeStatement!E15)/IncomeStatement!E15</f>
        <v>-0.16911714422485125</v>
      </c>
      <c r="G3" s="37">
        <f>(IncomeStatement!G15-IncomeStatement!F15)/IncomeStatement!F15</f>
        <v>0.39423868312757204</v>
      </c>
      <c r="H3" s="37">
        <f>(IncomeStatement!H15-IncomeStatement!G15)/IncomeStatement!G15</f>
        <v>0.69008264462809921</v>
      </c>
      <c r="I3" s="37">
        <f>(IncomeStatement!I15-IncomeStatement!H15)/IncomeStatement!H15</f>
        <v>0.29818372336709736</v>
      </c>
      <c r="J3" s="37">
        <f>(IncomeStatement!J15-IncomeStatement!I15)/IncomeStatement!I15</f>
        <v>0.29639196061021883</v>
      </c>
      <c r="K3" s="37">
        <f>(IncomeStatement!K15-IncomeStatement!J15)/IncomeStatement!J15</f>
        <v>5.2176078699956337E-2</v>
      </c>
      <c r="M3" s="37">
        <f t="shared" si="0"/>
        <v>0.24943203764161614</v>
      </c>
      <c r="N3" s="37">
        <f t="shared" si="1"/>
        <v>0.29639196061021883</v>
      </c>
    </row>
    <row r="4" spans="1:14" x14ac:dyDescent="0.3">
      <c r="A4" s="8" t="s">
        <v>122</v>
      </c>
      <c r="B4" s="37"/>
      <c r="C4" s="37">
        <f>((IncomeStatement!C15-IncomeStatement!C21)-(IncomeStatement!B15-IncomeStatement!B21))/(IncomeStatement!B15-IncomeStatement!B21)</f>
        <v>9.0293453724603328E-3</v>
      </c>
      <c r="D4" s="37">
        <f>((IncomeStatement!D15-IncomeStatement!D21)-(IncomeStatement!C15-IncomeStatement!C21))/(IncomeStatement!C15-IncomeStatement!C21)</f>
        <v>0.32336790726052478</v>
      </c>
      <c r="E4" s="37">
        <f>((IncomeStatement!E15-IncomeStatement!E21)-(IncomeStatement!D15-IncomeStatement!D21))/(IncomeStatement!D15-IncomeStatement!D21)</f>
        <v>0.49638850468725992</v>
      </c>
      <c r="F4" s="37">
        <f>((IncomeStatement!F15-IncomeStatement!F21)-(IncomeStatement!E15-IncomeStatement!E21))/(IncomeStatement!E15-IncomeStatement!E21)</f>
        <v>-0.29516278114408956</v>
      </c>
      <c r="G4" s="37">
        <f>((IncomeStatement!G15-IncomeStatement!G21)-(IncomeStatement!F15-IncomeStatement!F21))/(IncomeStatement!F15-IncomeStatement!F21)</f>
        <v>0.69415707416581685</v>
      </c>
      <c r="H4" s="37">
        <f>((IncomeStatement!H15-IncomeStatement!H21)-(IncomeStatement!G15-IncomeStatement!G21))/(IncomeStatement!G15-IncomeStatement!G21)</f>
        <v>0.93153866001548125</v>
      </c>
      <c r="I4" s="37">
        <f>((IncomeStatement!I15-IncomeStatement!I21)-(IncomeStatement!H15-IncomeStatement!H21))/(IncomeStatement!H15-IncomeStatement!H21)</f>
        <v>0.3517677442336804</v>
      </c>
      <c r="J4" s="37">
        <f>((IncomeStatement!J15-IncomeStatement!J21)-(IncomeStatement!I15-IncomeStatement!I21))/(IncomeStatement!I15-IncomeStatement!I21)</f>
        <v>0.27508399762830238</v>
      </c>
      <c r="K4" s="37">
        <f>((IncomeStatement!K15-IncomeStatement!K21)-(IncomeStatement!J15-IncomeStatement!J21))/(IncomeStatement!J15-IncomeStatement!J21)</f>
        <v>-4.5725800201504227E-3</v>
      </c>
      <c r="M4" s="37">
        <f t="shared" si="0"/>
        <v>0.30906643024436509</v>
      </c>
      <c r="N4" s="37">
        <f t="shared" si="1"/>
        <v>0.32336790726052478</v>
      </c>
    </row>
    <row r="5" spans="1:14" x14ac:dyDescent="0.3">
      <c r="A5" s="8" t="s">
        <v>123</v>
      </c>
      <c r="B5" s="37"/>
      <c r="C5" s="37">
        <f>(IncomeStatement!C30-IncomeStatement!B30)/IncomeStatement!B30</f>
        <v>8.3990610328638482</v>
      </c>
      <c r="D5" s="37">
        <f>(IncomeStatement!D30-IncomeStatement!C30)/IncomeStatement!C30</f>
        <v>0.4685314685314686</v>
      </c>
      <c r="E5" s="37">
        <f>(IncomeStatement!E30-IncomeStatement!D30)/IncomeStatement!D30</f>
        <v>0.44659863945578238</v>
      </c>
      <c r="F5" s="37">
        <f>(IncomeStatement!F30-IncomeStatement!E30)/IncomeStatement!E30</f>
        <v>-8.9348695038796139E-2</v>
      </c>
      <c r="G5" s="37">
        <f>(IncomeStatement!G30-IncomeStatement!F30)/IncomeStatement!F30</f>
        <v>0.79499096307771755</v>
      </c>
      <c r="H5" s="37">
        <f>(IncomeStatement!H30-IncomeStatement!G30)/IncomeStatement!G30</f>
        <v>1.2557537399309551</v>
      </c>
      <c r="I5" s="37">
        <f>(IncomeStatement!I30-IncomeStatement!H30)/IncomeStatement!H30</f>
        <v>0.34338732304552977</v>
      </c>
      <c r="J5" s="37">
        <f>(IncomeStatement!J30-IncomeStatement!I30)/IncomeStatement!I30</f>
        <v>0.22903118621540799</v>
      </c>
      <c r="K5" s="37">
        <f>(IncomeStatement!K30-IncomeStatement!J30)/IncomeStatement!J30</f>
        <v>4.6539471651475366E-2</v>
      </c>
      <c r="M5" s="37">
        <f t="shared" si="0"/>
        <v>1.3216161255259322</v>
      </c>
      <c r="N5" s="37">
        <f t="shared" si="1"/>
        <v>0.44659863945578238</v>
      </c>
    </row>
    <row r="6" spans="1:14" x14ac:dyDescent="0.3">
      <c r="A6" s="8" t="s">
        <v>124</v>
      </c>
      <c r="B6" s="37"/>
      <c r="C6" s="37">
        <v>0</v>
      </c>
      <c r="D6" s="37">
        <f>(IncomeStatement!D38-IncomeStatement!C38)/IncomeStatement!C38</f>
        <v>0</v>
      </c>
      <c r="E6" s="37">
        <f>(IncomeStatement!E38-IncomeStatement!D38)/IncomeStatement!D38</f>
        <v>0.46666666666666673</v>
      </c>
      <c r="F6" s="37">
        <f>(IncomeStatement!F38-IncomeStatement!E38)/IncomeStatement!E38</f>
        <v>0</v>
      </c>
      <c r="G6" s="37">
        <f>(IncomeStatement!G38-IncomeStatement!F38)/IncomeStatement!F38</f>
        <v>0.50000000000000011</v>
      </c>
      <c r="H6" s="37">
        <f>(IncomeStatement!H38-IncomeStatement!G38)/IncomeStatement!G38</f>
        <v>1.1212121212121209</v>
      </c>
      <c r="I6" s="37">
        <f>(IncomeStatement!I38-IncomeStatement!H38)/IncomeStatement!H38</f>
        <v>0.42857142857142866</v>
      </c>
      <c r="J6" s="37">
        <f>(IncomeStatement!J38-IncomeStatement!I38)/IncomeStatement!I38</f>
        <v>0</v>
      </c>
      <c r="K6" s="37">
        <f>(IncomeStatement!K38-IncomeStatement!J38)/IncomeStatement!J38</f>
        <v>0.5</v>
      </c>
      <c r="M6" s="37">
        <f t="shared" si="0"/>
        <v>0.33516113516113522</v>
      </c>
      <c r="N6" s="37">
        <f t="shared" si="1"/>
        <v>0.42857142857142866</v>
      </c>
    </row>
    <row r="7" spans="1:14" x14ac:dyDescent="0.3">
      <c r="A7" s="8" t="s">
        <v>125</v>
      </c>
      <c r="B7" s="37"/>
      <c r="C7" s="37">
        <f>(IncomeStatement!C24-IncomeStatement!B24)/IncomeStatement!B24</f>
        <v>4.2680608365019017</v>
      </c>
      <c r="D7" s="37">
        <f>(IncomeStatement!D24-IncomeStatement!C24)/IncomeStatement!C24</f>
        <v>0.54420786719595793</v>
      </c>
      <c r="E7" s="37">
        <f>(IncomeStatement!E24-IncomeStatement!D24)/IncomeStatement!D24</f>
        <v>0.51764430941808837</v>
      </c>
      <c r="F7" s="37">
        <f>(IncomeStatement!F24-IncomeStatement!E24)/IncomeStatement!E24</f>
        <v>-0.39559593470896209</v>
      </c>
      <c r="G7" s="37">
        <f>(IncomeStatement!G24-IncomeStatement!F24)/IncomeStatement!F24</f>
        <v>1.4349044585987263</v>
      </c>
      <c r="H7" s="37">
        <f>(IncomeStatement!H24-IncomeStatement!G24)/IncomeStatement!G24</f>
        <v>1.1363398556032227</v>
      </c>
      <c r="I7" s="37">
        <f>(IncomeStatement!I24-IncomeStatement!H24)/IncomeStatement!H24</f>
        <v>0.34407601508546787</v>
      </c>
      <c r="J7" s="37">
        <f>(IncomeStatement!J24-IncomeStatement!I24)/IncomeStatement!I24</f>
        <v>0.23460389184461783</v>
      </c>
      <c r="K7" s="37">
        <f>(IncomeStatement!K24-IncomeStatement!J24)/IncomeStatement!J24</f>
        <v>7.9486422668240908E-2</v>
      </c>
      <c r="M7" s="37">
        <f t="shared" si="0"/>
        <v>0.90708085802302918</v>
      </c>
      <c r="N7" s="37">
        <f t="shared" si="1"/>
        <v>0.51764430941808837</v>
      </c>
    </row>
    <row r="8" spans="1:14" x14ac:dyDescent="0.3">
      <c r="B8" s="37"/>
      <c r="C8" s="37"/>
      <c r="D8" s="37"/>
      <c r="E8" s="37"/>
      <c r="F8" s="37"/>
      <c r="G8" s="37"/>
      <c r="H8" s="37"/>
      <c r="I8" s="37"/>
      <c r="J8" s="37"/>
      <c r="K8" s="37"/>
    </row>
    <row r="9" spans="1:14" x14ac:dyDescent="0.3">
      <c r="A9" s="8" t="s">
        <v>126</v>
      </c>
      <c r="B9" s="37">
        <f>(IncomeStatement!B30/IncomeStatement!B3)</f>
        <v>5.5164197658758938E-3</v>
      </c>
      <c r="C9" s="37">
        <f>(IncomeStatement!C30/IncomeStatement!C3)</f>
        <v>5.0006244536030968E-2</v>
      </c>
      <c r="D9" s="37">
        <f>(IncomeStatement!D30/IncomeStatement!D3)</f>
        <v>5.7587213288151529E-2</v>
      </c>
      <c r="E9" s="37">
        <f>(IncomeStatement!E30/IncomeStatement!E3)</f>
        <v>5.9652715439856369E-2</v>
      </c>
      <c r="F9" s="37">
        <f>(IncomeStatement!F30/IncomeStatement!F3)</f>
        <v>6.0045580688671489E-2</v>
      </c>
      <c r="G9" s="37">
        <f>(IncomeStatement!G30/IncomeStatement!G3)</f>
        <v>7.8792274911596696E-2</v>
      </c>
      <c r="H9" s="37">
        <f>(IncomeStatement!H30/IncomeStatement!H3)</f>
        <v>0.11904563086896783</v>
      </c>
      <c r="I9" s="37">
        <f>(IncomeStatement!I30/IncomeStatement!I3)</f>
        <v>0.1313191128620049</v>
      </c>
      <c r="J9" s="37">
        <f>(IncomeStatement!J30/IncomeStatement!J3)</f>
        <v>0.12941017708182348</v>
      </c>
      <c r="K9" s="37">
        <f>(IncomeStatement!K30/IncomeStatement!K3)</f>
        <v>0.12495503887408116</v>
      </c>
      <c r="M9" s="37">
        <f>AVERAGE(B9:K9)</f>
        <v>8.1633040831706041E-2</v>
      </c>
      <c r="N9" s="37">
        <f>MEDIAN(B9:K9)</f>
        <v>6.9418927800134089E-2</v>
      </c>
    </row>
    <row r="10" spans="1:14" x14ac:dyDescent="0.3">
      <c r="A10" s="8" t="s">
        <v>127</v>
      </c>
      <c r="B10" s="37">
        <f>IncomeStatement!B15/IncomeStatement!B3</f>
        <v>0.20964984978763079</v>
      </c>
      <c r="C10" s="37">
        <f>IncomeStatement!C15/IncomeStatement!C3</f>
        <v>0.20939178219058324</v>
      </c>
      <c r="D10" s="37">
        <f>IncomeStatement!D15/IncomeStatement!D3</f>
        <v>0.20288719565941274</v>
      </c>
      <c r="E10" s="37">
        <f>IncomeStatement!E15/IncomeStatement!E3</f>
        <v>0.20510267055655296</v>
      </c>
      <c r="F10" s="37">
        <f>IncomeStatement!F15/IncomeStatement!F3</f>
        <v>0.18836917257096789</v>
      </c>
      <c r="G10" s="37">
        <f>IncomeStatement!G15/IncomeStatement!G3</f>
        <v>0.1919938344364856</v>
      </c>
      <c r="H10" s="37">
        <f>IncomeStatement!H15/IncomeStatement!H3</f>
        <v>0.21733684554129248</v>
      </c>
      <c r="I10" s="37">
        <f>IncomeStatement!I15/IncomeStatement!I3</f>
        <v>0.23167691022652187</v>
      </c>
      <c r="J10" s="37">
        <f>IncomeStatement!J15/IncomeStatement!J3</f>
        <v>0.24082228342088297</v>
      </c>
      <c r="K10" s="37">
        <f>IncomeStatement!K15/IncomeStatement!K3</f>
        <v>0.23378402058527856</v>
      </c>
      <c r="M10" s="37">
        <f>AVERAGE(B10:K10)</f>
        <v>0.2131014564975609</v>
      </c>
      <c r="N10" s="37">
        <f>MEDIAN(B10:K10)</f>
        <v>0.20952081598910702</v>
      </c>
    </row>
    <row r="11" spans="1:14" x14ac:dyDescent="0.3">
      <c r="A11" s="8" t="s">
        <v>128</v>
      </c>
      <c r="B11" s="37">
        <f>(IncomeStatement!B15-IncomeStatement!B21)/IncomeStatement!B3</f>
        <v>0.12620428882212784</v>
      </c>
      <c r="C11" s="37">
        <f>(IncomeStatement!C15-IncomeStatement!C21)/IncomeStatement!C3</f>
        <v>0.12281753465717496</v>
      </c>
      <c r="D11" s="37">
        <f>(IncomeStatement!D15-IncomeStatement!D21)/IncomeStatement!D3</f>
        <v>0.12745578124693943</v>
      </c>
      <c r="E11" s="37">
        <f>(IncomeStatement!E15-IncomeStatement!E21)/IncomeStatement!E3</f>
        <v>0.1365714766606822</v>
      </c>
      <c r="F11" s="37">
        <f>(IncomeStatement!F15-IncomeStatement!F21)/IncomeStatement!F3</f>
        <v>0.10640145114029238</v>
      </c>
      <c r="G11" s="37">
        <f>(IncomeStatement!G15-IncomeStatement!G21)/IncomeStatement!G3</f>
        <v>0.13177758636322423</v>
      </c>
      <c r="H11" s="37">
        <f>(IncomeStatement!H15-IncomeStatement!H21)/IncomeStatement!H3</f>
        <v>0.17048378893350843</v>
      </c>
      <c r="I11" s="37">
        <f>(IncomeStatement!I15-IncomeStatement!I21)/IncomeStatement!I3</f>
        <v>0.18923366536596309</v>
      </c>
      <c r="J11" s="37">
        <f>(IncomeStatement!J15-IncomeStatement!J21)/IncomeStatement!J3</f>
        <v>0.1934705138521669</v>
      </c>
      <c r="K11" s="37">
        <f>(IncomeStatement!K15-IncomeStatement!K21)/IncomeStatement!K3</f>
        <v>0.1776863696311804</v>
      </c>
      <c r="M11" s="37">
        <f>AVERAGE(B11:K11)</f>
        <v>0.14821024566732596</v>
      </c>
      <c r="N11" s="37">
        <f>MEDIAN(B11:K11)</f>
        <v>0.13417453151195322</v>
      </c>
    </row>
    <row r="12" spans="1:14" x14ac:dyDescent="0.3">
      <c r="A12" s="8" t="s">
        <v>129</v>
      </c>
      <c r="B12" s="37">
        <f>IncomeStatement!B24/IncomeStatement!B3</f>
        <v>1.3622707966435306E-2</v>
      </c>
      <c r="C12" s="37">
        <f>IncomeStatement!C24/IncomeStatement!C3</f>
        <v>6.9214437367303622E-2</v>
      </c>
      <c r="D12" s="37">
        <f>IncomeStatement!D24/IncomeStatement!D3</f>
        <v>8.3814859068027339E-2</v>
      </c>
      <c r="E12" s="37">
        <f>IncomeStatement!E24/IncomeStatement!E3</f>
        <v>9.1085053859964085E-2</v>
      </c>
      <c r="F12" s="37">
        <f>IncomeStatement!F24/IncomeStatement!F3</f>
        <v>6.085176974000403E-2</v>
      </c>
      <c r="G12" s="37">
        <f>IncomeStatement!G24/IncomeStatement!G3</f>
        <v>0.10831671049052498</v>
      </c>
      <c r="H12" s="37">
        <f>IncomeStatement!H24/IncomeStatement!H3</f>
        <v>0.15499009344801148</v>
      </c>
      <c r="I12" s="37">
        <f>IncomeStatement!I24/IncomeStatement!I3</f>
        <v>0.17105706057621581</v>
      </c>
      <c r="J12" s="37">
        <f>IncomeStatement!J24/IncomeStatement!J3</f>
        <v>0.16933480609965162</v>
      </c>
      <c r="K12" s="37">
        <f>IncomeStatement!K24/IncomeStatement!K3</f>
        <v>0.16865264186964501</v>
      </c>
      <c r="M12" s="37">
        <f>AVERAGE(B12:K12)</f>
        <v>0.10909401404857832</v>
      </c>
      <c r="N12" s="37">
        <f>MEDIAN(B12:K12)</f>
        <v>9.9700882175244532E-2</v>
      </c>
    </row>
    <row r="13" spans="1:14" x14ac:dyDescent="0.3">
      <c r="A13" s="8" t="s">
        <v>130</v>
      </c>
      <c r="B13" s="37">
        <f>IncomeStatement!B9/IncomeStatement!B3</f>
        <v>0.36025069926447739</v>
      </c>
      <c r="C13" s="37">
        <f>IncomeStatement!C9/IncomeStatement!C3</f>
        <v>0.35364056450605719</v>
      </c>
      <c r="D13" s="37">
        <f>IncomeStatement!D9/IncomeStatement!D3</f>
        <v>0.37049732630795446</v>
      </c>
      <c r="E13" s="37">
        <f>IncomeStatement!E9/IncomeStatement!E3</f>
        <v>0.36104409784560143</v>
      </c>
      <c r="F13" s="37">
        <f>IncomeStatement!F9/IncomeStatement!F3</f>
        <v>0.35112633912652519</v>
      </c>
      <c r="G13" s="37">
        <f>IncomeStatement!G9/IncomeStatement!G3</f>
        <v>0.35303517998005257</v>
      </c>
      <c r="H13" s="37">
        <f>IncomeStatement!H9/IncomeStatement!H3</f>
        <v>0.35872345917058246</v>
      </c>
      <c r="I13" s="37">
        <f>IncomeStatement!I9/IncomeStatement!I3</f>
        <v>0.38043085285427553</v>
      </c>
      <c r="J13" s="37">
        <f>IncomeStatement!J9/IncomeStatement!J3</f>
        <v>0.39519784882820114</v>
      </c>
      <c r="K13" s="37">
        <f>IncomeStatement!K9/IncomeStatement!K3</f>
        <v>0.3902717957704262</v>
      </c>
      <c r="M13" s="37">
        <f>AVERAGE(B13:K13)</f>
        <v>0.36742181636541538</v>
      </c>
      <c r="N13" s="37">
        <f>MEDIAN(B13:K13)</f>
        <v>0.36064739855503941</v>
      </c>
    </row>
    <row r="15" spans="1:14" x14ac:dyDescent="0.3">
      <c r="A15" s="8" t="s">
        <v>131</v>
      </c>
      <c r="B15" s="37">
        <f>IncomeStatement!B12/IncomeStatement!B3</f>
        <v>0.15060084947684657</v>
      </c>
      <c r="C15" s="37">
        <f>IncomeStatement!C12/IncomeStatement!C3</f>
        <v>0.14422380417135006</v>
      </c>
      <c r="D15" s="37">
        <f>IncomeStatement!D12/IncomeStatement!D3</f>
        <v>0.16761013064854172</v>
      </c>
      <c r="E15" s="37">
        <f>IncomeStatement!E12/IncomeStatement!E3</f>
        <v>0.15594142728904847</v>
      </c>
      <c r="F15" s="37">
        <f>IncomeStatement!F12/IncomeStatement!F3</f>
        <v>0.16275716655555728</v>
      </c>
      <c r="G15" s="37">
        <f>IncomeStatement!G12/IncomeStatement!G3</f>
        <v>0.16104134554356694</v>
      </c>
      <c r="H15" s="37">
        <f>IncomeStatement!H12/IncomeStatement!H3</f>
        <v>0.14138661362928998</v>
      </c>
      <c r="I15" s="37">
        <f>IncomeStatement!I12/IncomeStatement!I3</f>
        <v>0.14874770922419059</v>
      </c>
      <c r="J15" s="37">
        <f>IncomeStatement!J12/IncomeStatement!J3</f>
        <v>0.15437556540731817</v>
      </c>
      <c r="K15" s="37">
        <f>IncomeStatement!K12/IncomeStatement!K3</f>
        <v>0.15648316378761748</v>
      </c>
      <c r="M15" s="37">
        <f>AVERAGE(B15:K15)</f>
        <v>0.15431677757333273</v>
      </c>
      <c r="N15" s="37">
        <f>MEDIAN(B15:K15)</f>
        <v>0.15515849634818332</v>
      </c>
    </row>
    <row r="16" spans="1:14" x14ac:dyDescent="0.3">
      <c r="A16" s="8" t="s">
        <v>132</v>
      </c>
      <c r="B16" s="37">
        <f>IncomeStatement!B21/IncomeStatement!B3</f>
        <v>8.3445560965502957E-2</v>
      </c>
      <c r="C16" s="37">
        <f>IncomeStatement!C21/IncomeStatement!C3</f>
        <v>8.6574247533408269E-2</v>
      </c>
      <c r="D16" s="37">
        <f>IncomeStatement!D21/IncomeStatement!D3</f>
        <v>7.5431414412473308E-2</v>
      </c>
      <c r="E16" s="37">
        <f>IncomeStatement!E21/IncomeStatement!E3</f>
        <v>6.8531193895870729E-2</v>
      </c>
      <c r="F16" s="37">
        <f>IncomeStatement!F21/IncomeStatement!F3</f>
        <v>8.1967721430675503E-2</v>
      </c>
      <c r="G16" s="37">
        <f>IncomeStatement!G21/IncomeStatement!G3</f>
        <v>6.021624807326139E-2</v>
      </c>
      <c r="H16" s="37">
        <f>IncomeStatement!H21/IncomeStatement!H3</f>
        <v>4.6853056607784049E-2</v>
      </c>
      <c r="I16" s="37">
        <f>IncomeStatement!I21/IncomeStatement!I3</f>
        <v>4.2443244860558761E-2</v>
      </c>
      <c r="J16" s="37">
        <f>IncomeStatement!J21/IncomeStatement!J3</f>
        <v>4.7351769568716041E-2</v>
      </c>
      <c r="K16" s="37">
        <f>IncomeStatement!K21/IncomeStatement!K3</f>
        <v>5.6097650954098147E-2</v>
      </c>
      <c r="M16" s="37">
        <f>AVERAGE(B16:K16)</f>
        <v>6.4891210830234899E-2</v>
      </c>
      <c r="N16" s="37">
        <f>MEDIAN(B16:K16)</f>
        <v>6.4373720984566063E-2</v>
      </c>
    </row>
    <row r="17" spans="1:14" x14ac:dyDescent="0.3">
      <c r="A17" s="8" t="s">
        <v>133</v>
      </c>
      <c r="B17" s="37">
        <f>(IncomeStatement!B15-IncomeStatement!B21)/IncomeStatement!B3</f>
        <v>0.12620428882212784</v>
      </c>
      <c r="C17" s="37">
        <f>(IncomeStatement!C15-IncomeStatement!C21)/IncomeStatement!C3</f>
        <v>0.12281753465717496</v>
      </c>
      <c r="D17" s="37">
        <f>(IncomeStatement!D15-IncomeStatement!D21)/IncomeStatement!D3</f>
        <v>0.12745578124693943</v>
      </c>
      <c r="E17" s="37">
        <f>(IncomeStatement!E15-IncomeStatement!E21)/IncomeStatement!E3</f>
        <v>0.1365714766606822</v>
      </c>
      <c r="F17" s="37">
        <f>(IncomeStatement!F15-IncomeStatement!F21)/IncomeStatement!F3</f>
        <v>0.10640145114029238</v>
      </c>
      <c r="G17" s="37">
        <f>(IncomeStatement!G15-IncomeStatement!G21)/IncomeStatement!G3</f>
        <v>0.13177758636322423</v>
      </c>
      <c r="H17" s="37">
        <f>(IncomeStatement!H15-IncomeStatement!H21)/IncomeStatement!H3</f>
        <v>0.17048378893350843</v>
      </c>
      <c r="I17" s="37">
        <f>(IncomeStatement!I15-IncomeStatement!I21)/IncomeStatement!I3</f>
        <v>0.18923366536596309</v>
      </c>
      <c r="J17" s="37">
        <f>(IncomeStatement!J15-IncomeStatement!J21)/IncomeStatement!J3</f>
        <v>0.1934705138521669</v>
      </c>
      <c r="K17" s="37">
        <f>(IncomeStatement!K15-IncomeStatement!K21)/IncomeStatement!K3</f>
        <v>0.1776863696311804</v>
      </c>
      <c r="M17" s="37">
        <f>AVERAGE(B17:K17)</f>
        <v>0.14821024566732596</v>
      </c>
      <c r="N17" s="37">
        <f>MEDIAN(B17:K17)</f>
        <v>0.13417453151195322</v>
      </c>
    </row>
    <row r="19" spans="1:14" x14ac:dyDescent="0.3">
      <c r="A19" s="8" t="s">
        <v>134</v>
      </c>
      <c r="B19" s="37">
        <f>(IncomeStatement!B15-IncomeStatement!B21)/(BS!B3+BS!B4+BS!B5)</f>
        <v>0.12466103862880533</v>
      </c>
      <c r="C19" s="37">
        <f>(IncomeStatement!C15-IncomeStatement!C21)/(BS!C3+BS!C4+BS!C5)</f>
        <v>0.11116637652325292</v>
      </c>
      <c r="D19" s="37">
        <f>(IncomeStatement!D15-IncomeStatement!D21)/(BS!D3+BS!D4+BS!D5)</f>
        <v>0.13538199067909454</v>
      </c>
      <c r="E19" s="37">
        <f>(IncomeStatement!E15-IncomeStatement!E21)/(BS!E3+BS!E4+BS!E5)</f>
        <v>0.1443459440227704</v>
      </c>
      <c r="F19" s="37">
        <f>(IncomeStatement!F15-IncomeStatement!F21)/(BS!F3+BS!F4+BS!F5)</f>
        <v>0.10182341508286226</v>
      </c>
      <c r="G19" s="37">
        <f>(IncomeStatement!G15-IncomeStatement!G21)/(BS!G3+BS!G4+BS!G5)</f>
        <v>0.15571805483011236</v>
      </c>
      <c r="H19" s="37">
        <f>(IncomeStatement!H15-IncomeStatement!H21)/(BS!H3+BS!H4+BS!H5)</f>
        <v>0.24991653869266209</v>
      </c>
      <c r="I19" s="37">
        <f>(IncomeStatement!I15-IncomeStatement!I21)/(BS!I3+BS!I4+BS!I5)</f>
        <v>0.24545998479923672</v>
      </c>
      <c r="J19" s="37">
        <f>(IncomeStatement!J15-IncomeStatement!J21)/(BS!J3+BS!J4+BS!J5)</f>
        <v>0.19916032537391762</v>
      </c>
      <c r="K19" s="37">
        <f>(IncomeStatement!K15-IncomeStatement!K21)/(BS!K3+BS!K4+BS!K5)</f>
        <v>0.17445635195523135</v>
      </c>
      <c r="M19" s="37">
        <f>AVERAGE(B19:K19)</f>
        <v>0.16420900205879457</v>
      </c>
      <c r="N19" s="37">
        <f>MEDIAN(B19:K19)</f>
        <v>0.15003199942644138</v>
      </c>
    </row>
    <row r="20" spans="1:14" x14ac:dyDescent="0.3">
      <c r="A20" s="8" t="s">
        <v>135</v>
      </c>
      <c r="C20" s="38" t="str">
        <f>IncomeStatement!C41</f>
        <v>77.20%</v>
      </c>
      <c r="D20" s="38" t="str">
        <f>IncomeStatement!D41</f>
        <v>84.47%</v>
      </c>
      <c r="E20" s="38" t="str">
        <f>IncomeStatement!E41</f>
        <v>83.03%</v>
      </c>
      <c r="F20" s="38" t="str">
        <f>IncomeStatement!F41</f>
        <v>81.37%</v>
      </c>
      <c r="G20" s="38" t="str">
        <f>IncomeStatement!G41</f>
        <v>84.43%</v>
      </c>
      <c r="H20" s="38" t="str">
        <f>IncomeStatement!H41</f>
        <v>85.50%</v>
      </c>
      <c r="I20" s="38" t="str">
        <f>IncomeStatement!I41</f>
        <v>84.58%</v>
      </c>
      <c r="J20" s="38" t="str">
        <f>IncomeStatement!J41</f>
        <v>86.94%</v>
      </c>
      <c r="K20" s="38" t="str">
        <f>IncomeStatement!K41</f>
        <v>81.28%</v>
      </c>
      <c r="M20" s="37">
        <f>AVERAGE(B20:K21)</f>
        <v>0.15862538464697157</v>
      </c>
      <c r="N20" s="37">
        <f>MEDIAN(B20:K21)</f>
        <v>0.14275536863540106</v>
      </c>
    </row>
    <row r="21" spans="1:14" x14ac:dyDescent="0.3">
      <c r="A21" s="8" t="s">
        <v>136</v>
      </c>
      <c r="B21" s="37">
        <f>IncomeStatement!B30/SUM(BS!B3:B4)</f>
        <v>1.2576759565422769E-2</v>
      </c>
      <c r="C21" s="37">
        <f>IncomeStatement!C30/SUM(BS!C3:C4)</f>
        <v>0.11314569910704193</v>
      </c>
      <c r="D21" s="37">
        <f>IncomeStatement!D30/SUM(BS!D3:D4)</f>
        <v>0.14711033274956217</v>
      </c>
      <c r="E21" s="37">
        <f>IncomeStatement!E30/SUM(BS!E3:E4)</f>
        <v>0.12777911308736933</v>
      </c>
      <c r="F21" s="37">
        <f>IncomeStatement!F30/SUM(BS!F3:F4)</f>
        <v>0.10990351872871737</v>
      </c>
      <c r="G21" s="37">
        <f>IncomeStatement!G30/SUM(BS!G3:G4)</f>
        <v>0.17039633324346184</v>
      </c>
      <c r="H21" s="37">
        <f>IncomeStatement!H30/SUM(BS!H3:H4)</f>
        <v>0.30734556287237375</v>
      </c>
      <c r="I21" s="37">
        <f>IncomeStatement!I30/SUM(BS!I3:I4)</f>
        <v>0.30371224681035103</v>
      </c>
      <c r="J21" s="37">
        <f>IncomeStatement!J30/SUM(BS!J3:J4)</f>
        <v>0.15588387578417559</v>
      </c>
      <c r="K21" s="37">
        <f>IncomeStatement!K30/SUM(BS!K3:K4)</f>
        <v>0.13840040452123992</v>
      </c>
      <c r="M21" s="37">
        <f>AVERAGE(B21:K21)</f>
        <v>0.15862538464697157</v>
      </c>
      <c r="N21" s="37">
        <f>MEDIAN(B21:K21)</f>
        <v>0.14275536863540106</v>
      </c>
    </row>
    <row r="22" spans="1:14" x14ac:dyDescent="0.3">
      <c r="A22" s="8" t="s">
        <v>137</v>
      </c>
      <c r="B22" s="39">
        <f>(IncomeStatement!B15-IncomeStatement!B21)/IncomeStatement!B18</f>
        <v>1.121002990568208</v>
      </c>
      <c r="C22" s="39">
        <f>(IncomeStatement!C15-IncomeStatement!C21)/IncomeStatement!C18</f>
        <v>2.2912395153774461</v>
      </c>
      <c r="D22" s="39">
        <f>(IncomeStatement!D15-IncomeStatement!D21)/IncomeStatement!D18</f>
        <v>2.9205565529622977</v>
      </c>
      <c r="E22" s="39">
        <f>(IncomeStatement!E15-IncomeStatement!E21)/IncomeStatement!E18</f>
        <v>3.0024668516805422</v>
      </c>
      <c r="F22" s="39">
        <f>(IncomeStatement!F15-IncomeStatement!F21)/IncomeStatement!F18</f>
        <v>2.3367381681988424</v>
      </c>
      <c r="G22" s="39">
        <f>(IncomeStatement!G15-IncomeStatement!G21)/IncomeStatement!G18</f>
        <v>5.6169082125603866</v>
      </c>
      <c r="H22" s="39">
        <f>(IncomeStatement!H15-IncomeStatement!H21)/IncomeStatement!H18</f>
        <v>11.003429691327781</v>
      </c>
      <c r="I22" s="39">
        <f>(IncomeStatement!I15-IncomeStatement!I21)/IncomeStatement!I18</f>
        <v>10.410836762688612</v>
      </c>
      <c r="J22" s="39">
        <f>(IncomeStatement!J15-IncomeStatement!J21)/IncomeStatement!J18</f>
        <v>8.0159453302961285</v>
      </c>
      <c r="K22" s="39">
        <f>(IncomeStatement!K15-IncomeStatement!K21)/IncomeStatement!K18</f>
        <v>19.659183673469386</v>
      </c>
      <c r="M22" s="37">
        <f>AVERAGE(B22:K22)</f>
        <v>6.6378307749129615</v>
      </c>
      <c r="N22" s="37">
        <f>MEDIAN(B22:K22)</f>
        <v>4.3096875321204644</v>
      </c>
    </row>
    <row r="24" spans="1:14" x14ac:dyDescent="0.3">
      <c r="A24" s="8" t="s">
        <v>138</v>
      </c>
      <c r="B24" s="39">
        <f>IncomeStatement!B3/BS!B15</f>
        <v>29.385083713850836</v>
      </c>
      <c r="C24" s="39">
        <f>IncomeStatement!C3/BS!C15</f>
        <v>26.636726546906186</v>
      </c>
      <c r="D24" s="39">
        <f>IncomeStatement!D3/BS!D15</f>
        <v>39.885156250000001</v>
      </c>
      <c r="E24" s="39">
        <f>IncomeStatement!E3/BS!E15</f>
        <v>41.307068366164543</v>
      </c>
      <c r="F24" s="39">
        <f>IncomeStatement!F3/BS!F15</f>
        <v>26.675351530190241</v>
      </c>
      <c r="G24" s="39">
        <f>IncomeStatement!G3/BS!G15</f>
        <v>39.869859918662449</v>
      </c>
      <c r="H24" s="39">
        <f>IncomeStatement!H3/BS!H15</f>
        <v>44.013030404276648</v>
      </c>
      <c r="I24" s="39">
        <f>IncomeStatement!I3/BS!I15</f>
        <v>44.637173066221486</v>
      </c>
      <c r="J24" s="39">
        <f>IncomeStatement!J3/BS!J15</f>
        <v>23.65535587609364</v>
      </c>
      <c r="K24" s="39">
        <f>IncomeStatement!K3/BS!K15</f>
        <v>17.362209767814253</v>
      </c>
      <c r="M24" s="39">
        <f>AVERAGE(B24:K24)</f>
        <v>33.342701544018027</v>
      </c>
      <c r="N24" s="39">
        <f>MEDIAN(B24:K24)</f>
        <v>34.627471816256644</v>
      </c>
    </row>
    <row r="25" spans="1:14" x14ac:dyDescent="0.3">
      <c r="A25" s="8" t="s">
        <v>139</v>
      </c>
      <c r="B25" s="39">
        <f>IncomeStatement!B3/BS!B6</f>
        <v>4.2180467555167143</v>
      </c>
      <c r="C25" s="39">
        <f>IncomeStatement!C3/BS!C6</f>
        <v>4.6961876832844576</v>
      </c>
      <c r="D25" s="39">
        <f>IncomeStatement!D3/BS!D6</f>
        <v>4.2844075193017792</v>
      </c>
      <c r="E25" s="39">
        <f>IncomeStatement!E3/BS!E6</f>
        <v>4.3739877300613497</v>
      </c>
      <c r="F25" s="39">
        <f>IncomeStatement!F3/BS!F6</f>
        <v>3.7781747891283977</v>
      </c>
      <c r="G25" s="39">
        <f>IncomeStatement!G3/BS!G6</f>
        <v>4.1760696705793263</v>
      </c>
      <c r="H25" s="39">
        <f>IncomeStatement!H3/BS!H6</f>
        <v>5.0047870521636719</v>
      </c>
      <c r="I25" s="39">
        <f>IncomeStatement!I3/BS!I6</f>
        <v>5.6900759026743275</v>
      </c>
      <c r="J25" s="39">
        <f>IncomeStatement!J3/BS!J6</f>
        <v>5.4247871590477743</v>
      </c>
      <c r="K25" s="39">
        <f>IncomeStatement!K3/BS!K6</f>
        <v>6.2787075105680703</v>
      </c>
      <c r="M25" s="39">
        <f>AVERAGE(B25:K25)</f>
        <v>4.7925231772325869</v>
      </c>
      <c r="N25" s="39">
        <f>MEDIAN(B25:K25)</f>
        <v>4.5350877066729041</v>
      </c>
    </row>
    <row r="26" spans="1:14" x14ac:dyDescent="0.3">
      <c r="A26" s="8" t="s">
        <v>140</v>
      </c>
      <c r="B26" s="39">
        <f>IncomeStatement!B3/BS!B16</f>
        <v>7.8816084915288833</v>
      </c>
      <c r="C26" s="39">
        <f>IncomeStatement!C3/BS!C16</f>
        <v>9.1216678058783334</v>
      </c>
      <c r="D26" s="39">
        <f>IncomeStatement!D3/BS!D16</f>
        <v>8.8265905947441219</v>
      </c>
      <c r="E26" s="39">
        <f>IncomeStatement!E3/BS!E16</f>
        <v>8.0880317640385702</v>
      </c>
      <c r="F26" s="39">
        <f>IncomeStatement!F3/BS!F16</f>
        <v>6.9445521102497851</v>
      </c>
      <c r="G26" s="39">
        <f>IncomeStatement!G3/BS!G16</f>
        <v>6.0929493819487615</v>
      </c>
      <c r="H26" s="39">
        <f>IncomeStatement!H3/BS!H16</f>
        <v>6.6067004363308088</v>
      </c>
      <c r="I26" s="39">
        <f>IncomeStatement!I3/BS!I16</f>
        <v>7.4599395489421063</v>
      </c>
      <c r="J26" s="39">
        <f>IncomeStatement!J3/BS!J16</f>
        <v>7.1681355689309267</v>
      </c>
      <c r="K26" s="39">
        <f>IncomeStatement!K3/BS!K16</f>
        <v>7.3465004404092422</v>
      </c>
      <c r="M26" s="39">
        <f>AVERAGE(B26:K26)</f>
        <v>7.5536676143001547</v>
      </c>
      <c r="N26" s="39">
        <f>MEDIAN(B26:K26)</f>
        <v>7.4032199946756743</v>
      </c>
    </row>
    <row r="27" spans="1:14" x14ac:dyDescent="0.3">
      <c r="A27" s="8" t="s">
        <v>141</v>
      </c>
      <c r="B27" s="39">
        <f>IncomeStatement!B3/BS!B9</f>
        <v>1.0392141030816848</v>
      </c>
      <c r="C27" s="39">
        <f>IncomeStatement!C3/BS!C9</f>
        <v>1.0057781685717875</v>
      </c>
      <c r="D27" s="39">
        <f>IncomeStatement!D3/BS!D9</f>
        <v>1.1637337588329155</v>
      </c>
      <c r="E27" s="39">
        <f>IncomeStatement!E3/BS!E9</f>
        <v>1.1004167309770028</v>
      </c>
      <c r="F27" s="39">
        <f>IncomeStatement!F3/BS!F9</f>
        <v>1.0064756733139844</v>
      </c>
      <c r="G27" s="39">
        <f>IncomeStatement!G3/BS!G9</f>
        <v>1.3981111744945174</v>
      </c>
      <c r="H27" s="39">
        <f>IncomeStatement!H3/BS!H9</f>
        <v>1.9002769683505958</v>
      </c>
      <c r="I27" s="39">
        <f>IncomeStatement!I3/BS!I9</f>
        <v>1.9077438995386005</v>
      </c>
      <c r="J27" s="39">
        <f>IncomeStatement!J3/BS!J9</f>
        <v>1.4929225396778021</v>
      </c>
      <c r="K27" s="39">
        <f>IncomeStatement!K3/BS!K9</f>
        <v>1.2939632076090912</v>
      </c>
      <c r="M27" s="39">
        <f>AVERAGE(B27:K27)</f>
        <v>1.3308636224447983</v>
      </c>
      <c r="N27" s="39">
        <f>MEDIAN(B27:K27)</f>
        <v>1.2288484832210034</v>
      </c>
    </row>
    <row r="28" spans="1:14" x14ac:dyDescent="0.3">
      <c r="A28" s="8" t="s">
        <v>142</v>
      </c>
      <c r="B28" s="39">
        <f>IncomeStatement!B3/SUM(BS!B3:B4)</f>
        <v>2.2798771846953234</v>
      </c>
      <c r="C28" s="39">
        <f>IncomeStatement!C3/SUM(BS!C3:C4)</f>
        <v>2.2626314004747372</v>
      </c>
      <c r="D28" s="39">
        <f>IncomeStatement!D3/SUM(BS!D3:D4)</f>
        <v>2.5545659244433327</v>
      </c>
      <c r="E28" s="39">
        <f>IncomeStatement!E3/SUM(BS!E3:E4)</f>
        <v>2.1420502343468337</v>
      </c>
      <c r="F28" s="39">
        <f>IncomeStatement!F3/SUM(BS!F3:F4)</f>
        <v>1.8303348467650398</v>
      </c>
      <c r="G28" s="39">
        <f>IncomeStatement!G3/SUM(BS!G3:G4)</f>
        <v>2.1626020245594257</v>
      </c>
      <c r="H28" s="39">
        <f>IncomeStatement!H3/SUM(BS!H3:H4)</f>
        <v>2.5817458450925055</v>
      </c>
      <c r="I28" s="39">
        <f>IncomeStatement!I3/SUM(BS!I3:I4)</f>
        <v>2.3127802205723347</v>
      </c>
      <c r="J28" s="39">
        <f>IncomeStatement!J3/SUM(BS!J3:J4)</f>
        <v>1.2045719996628497</v>
      </c>
      <c r="K28" s="39">
        <f>IncomeStatement!K3/SUM(BS!K3:K4)</f>
        <v>1.1076016283001426</v>
      </c>
      <c r="M28" s="39">
        <f>AVERAGE(B28:K28)</f>
        <v>2.0438761308912525</v>
      </c>
      <c r="N28" s="39">
        <f>MEDIAN(B28:K28)</f>
        <v>2.2126167125170815</v>
      </c>
    </row>
    <row r="30" spans="1:14" x14ac:dyDescent="0.3">
      <c r="A30" s="8" t="s">
        <v>143</v>
      </c>
      <c r="B30" s="40">
        <f>(BS!B15/IncomeStatement!B3)*365</f>
        <v>12.421267999585622</v>
      </c>
      <c r="C30" s="40">
        <f>(BS!C15/IncomeStatement!C3)*365</f>
        <v>13.702884975646311</v>
      </c>
      <c r="D30" s="40">
        <f>(BS!D15/IncomeStatement!D3)*365</f>
        <v>9.1512741660627182</v>
      </c>
      <c r="E30" s="40">
        <f>(BS!E15/IncomeStatement!E3)*365</f>
        <v>8.8362600987432671</v>
      </c>
      <c r="F30" s="40">
        <f>(BS!F15/IncomeStatement!F3)*365</f>
        <v>13.683043673741491</v>
      </c>
      <c r="G30" s="40">
        <f>(BS!G15/IncomeStatement!G3)*365</f>
        <v>9.1547851119775139</v>
      </c>
      <c r="H30" s="40">
        <f>(BS!H15/IncomeStatement!H3)*365</f>
        <v>8.2929986108053537</v>
      </c>
      <c r="I30" s="40">
        <f>(BS!I15/IncomeStatement!I3)*365</f>
        <v>8.1770411279967075</v>
      </c>
      <c r="J30" s="40">
        <f>(BS!J15/IncomeStatement!J3)*365</f>
        <v>15.429909484848332</v>
      </c>
      <c r="K30" s="40">
        <f>(BS!K15/IncomeStatement!K3)*365</f>
        <v>21.022669630258147</v>
      </c>
      <c r="M30" s="39">
        <f>AVERAGE(B30:K30)</f>
        <v>11.987213487966546</v>
      </c>
      <c r="N30" s="40">
        <f>MEDIAN(B30:K30)</f>
        <v>10.788026555781567</v>
      </c>
    </row>
    <row r="31" spans="1:14" x14ac:dyDescent="0.3">
      <c r="A31" s="8" t="s">
        <v>144</v>
      </c>
      <c r="B31" s="40">
        <f t="shared" ref="B31:K31" si="2">365/B25</f>
        <v>86.532943126489172</v>
      </c>
      <c r="C31" s="40">
        <f t="shared" si="2"/>
        <v>77.722617709504178</v>
      </c>
      <c r="D31" s="40">
        <f t="shared" si="2"/>
        <v>85.192642939690131</v>
      </c>
      <c r="E31" s="40">
        <f t="shared" si="2"/>
        <v>83.447879263913819</v>
      </c>
      <c r="F31" s="40">
        <f t="shared" si="2"/>
        <v>96.607494457450258</v>
      </c>
      <c r="G31" s="40">
        <f t="shared" si="2"/>
        <v>87.402756369571122</v>
      </c>
      <c r="H31" s="40">
        <f t="shared" si="2"/>
        <v>72.930175888742966</v>
      </c>
      <c r="I31" s="40">
        <f t="shared" si="2"/>
        <v>64.146771720294723</v>
      </c>
      <c r="J31" s="40">
        <f t="shared" si="2"/>
        <v>67.28374575788321</v>
      </c>
      <c r="K31" s="40">
        <f t="shared" si="2"/>
        <v>58.132983481974044</v>
      </c>
      <c r="M31" s="39">
        <f>AVERAGE(B31:K31)</f>
        <v>77.940001071551364</v>
      </c>
      <c r="N31" s="40">
        <f>MEDIAN(B31:K31)</f>
        <v>80.585248486708991</v>
      </c>
    </row>
    <row r="32" spans="1:14" x14ac:dyDescent="0.3">
      <c r="A32" s="8" t="s">
        <v>145</v>
      </c>
      <c r="B32" s="40">
        <f t="shared" ref="B32:K32" si="3">365/B26</f>
        <v>46.310343934528127</v>
      </c>
      <c r="C32" s="40">
        <f t="shared" si="3"/>
        <v>40.014612214312471</v>
      </c>
      <c r="D32" s="40">
        <f t="shared" si="3"/>
        <v>41.352320137895909</v>
      </c>
      <c r="E32" s="40">
        <f t="shared" si="3"/>
        <v>45.128408325852789</v>
      </c>
      <c r="F32" s="40">
        <f t="shared" si="3"/>
        <v>52.559185128912723</v>
      </c>
      <c r="G32" s="40">
        <f t="shared" si="3"/>
        <v>59.905306464774675</v>
      </c>
      <c r="H32" s="40">
        <f t="shared" si="3"/>
        <v>55.246942633093198</v>
      </c>
      <c r="I32" s="40">
        <f t="shared" si="3"/>
        <v>48.928010422250757</v>
      </c>
      <c r="J32" s="40">
        <f t="shared" si="3"/>
        <v>50.91979587858674</v>
      </c>
      <c r="K32" s="40">
        <f t="shared" si="3"/>
        <v>49.683519787506796</v>
      </c>
      <c r="M32" s="39">
        <f>AVERAGE(B32:K32)</f>
        <v>49.004844492771419</v>
      </c>
      <c r="N32" s="40">
        <f>MEDIAN(B32:K32)</f>
        <v>49.305765104878773</v>
      </c>
    </row>
    <row r="33" spans="1:14" x14ac:dyDescent="0.3">
      <c r="A33" s="8" t="s">
        <v>146</v>
      </c>
      <c r="B33" s="40">
        <f t="shared" ref="B33:K33" si="4">B30+B32-B31</f>
        <v>-27.801331192375422</v>
      </c>
      <c r="C33" s="40">
        <f t="shared" si="4"/>
        <v>-24.005120519545393</v>
      </c>
      <c r="D33" s="40">
        <f t="shared" si="4"/>
        <v>-34.689048635731503</v>
      </c>
      <c r="E33" s="40">
        <f t="shared" si="4"/>
        <v>-29.483210839317763</v>
      </c>
      <c r="F33" s="40">
        <f t="shared" si="4"/>
        <v>-30.365265654796048</v>
      </c>
      <c r="G33" s="40">
        <f t="shared" si="4"/>
        <v>-18.342664792818937</v>
      </c>
      <c r="H33" s="40">
        <f t="shared" si="4"/>
        <v>-9.3902346448444121</v>
      </c>
      <c r="I33" s="40">
        <f t="shared" si="4"/>
        <v>-7.041720170047256</v>
      </c>
      <c r="J33" s="40">
        <f t="shared" si="4"/>
        <v>-0.93404039444813236</v>
      </c>
      <c r="K33" s="40">
        <f t="shared" si="4"/>
        <v>12.573205935790902</v>
      </c>
      <c r="M33" s="39">
        <f>AVERAGE(B33:K33)</f>
        <v>-16.947943090813396</v>
      </c>
      <c r="N33" s="40">
        <f>MEDIAN(B33:K33)</f>
        <v>-21.173892656182165</v>
      </c>
    </row>
    <row r="35" spans="1:14" x14ac:dyDescent="0.3">
      <c r="A35" s="8" t="s">
        <v>147</v>
      </c>
      <c r="B35" s="41">
        <f>'Cash Flow Statement'!D3/IncomeStatement!B3</f>
        <v>0.21236921164404848</v>
      </c>
      <c r="C35" s="41">
        <f>'Cash Flow Statement'!E2/IncomeStatement!C3</f>
        <v>0.1548644935681279</v>
      </c>
      <c r="D35" s="41">
        <f>'Cash Flow Statement'!F2/IncomeStatement!D3</f>
        <v>0.19587487512976709</v>
      </c>
      <c r="E35" s="41">
        <f>'Cash Flow Statement'!G2/IncomeStatement!E3</f>
        <v>0.18346050269299818</v>
      </c>
      <c r="F35" s="41">
        <f>'Cash Flow Statement'!H2/IncomeStatement!F3</f>
        <v>0.15689679229779382</v>
      </c>
      <c r="G35" s="41">
        <f>'Cash Flow Statement'!I2/IncomeStatement!G3</f>
        <v>0.13951854202556893</v>
      </c>
      <c r="H35" s="41">
        <f>'Cash Flow Statement'!J2/IncomeStatement!H3</f>
        <v>0.13588297363566662</v>
      </c>
      <c r="I35" s="41">
        <f>'Cash Flow Statement'!K2/IncomeStatement!I3</f>
        <v>0.14904067919165223</v>
      </c>
      <c r="J35" s="41">
        <f>'Cash Flow Statement'!L2/IncomeStatement!J3</f>
        <v>0.16898494079779283</v>
      </c>
      <c r="K35" s="41">
        <f>'Cash Flow Statement'!M2/IncomeStatement!K3</f>
        <v>0.16181393933245408</v>
      </c>
      <c r="M35" s="42">
        <f>AVERAGE(B35:K35)</f>
        <v>0.16587069503158702</v>
      </c>
      <c r="N35" s="42">
        <f>MEDIAN(B35:K35)</f>
        <v>0.15935536581512394</v>
      </c>
    </row>
    <row r="36" spans="1:14" x14ac:dyDescent="0.3">
      <c r="A36" s="8" t="s">
        <v>148</v>
      </c>
      <c r="B36" s="41">
        <f>'Cash Flow Statement'!D2/BS!B20</f>
        <v>0.17121300058038308</v>
      </c>
      <c r="C36" s="41">
        <f>'Cash Flow Statement'!E2/BS!C20</f>
        <v>0.11752217757221926</v>
      </c>
      <c r="D36" s="41">
        <f>'Cash Flow Statement'!F2/BS!D20</f>
        <v>0.16672224074691563</v>
      </c>
      <c r="E36" s="41">
        <f>'Cash Flow Statement'!G2/BS!E20</f>
        <v>0.15616791632838245</v>
      </c>
      <c r="F36" s="41">
        <f>'Cash Flow Statement'!H2/BS!F20</f>
        <v>0.11980017520183725</v>
      </c>
      <c r="G36" s="41">
        <f>'Cash Flow Statement'!I2/BS!G20</f>
        <v>0.12850357534318074</v>
      </c>
      <c r="H36" s="41">
        <f>'Cash Flow Statement'!J2/BS!H20</f>
        <v>0.15406861648103837</v>
      </c>
      <c r="I36" s="41">
        <f>'Cash Flow Statement'!K2/BS!I20</f>
        <v>0.15743520859671301</v>
      </c>
      <c r="J36" s="41">
        <f>'Cash Flow Statement'!L2/BS!J20</f>
        <v>0.14620983121651251</v>
      </c>
      <c r="K36" s="41">
        <f>'Cash Flow Statement'!M2/BS!K20</f>
        <v>0.1373885602195711</v>
      </c>
      <c r="M36" s="42">
        <f>AVERAGE(B36:K36)</f>
        <v>0.14550313022867534</v>
      </c>
      <c r="N36" s="42">
        <f>MEDIAN(B36:K36)</f>
        <v>0.15013922384877543</v>
      </c>
    </row>
    <row r="37" spans="1:14" x14ac:dyDescent="0.3">
      <c r="A37" s="8" t="s">
        <v>149</v>
      </c>
      <c r="B37" s="41">
        <f>'Cash Flow Statement'!D3/(BS!B5)</f>
        <v>0.37013631849778822</v>
      </c>
      <c r="C37" s="41">
        <f>'Cash Flow Statement'!E3/(BS!C5)</f>
        <v>0.3289746391830275</v>
      </c>
      <c r="D37" s="41">
        <f>'Cash Flow Statement'!F3/(BS!D5)</f>
        <v>0.39994301791374337</v>
      </c>
      <c r="E37" s="41">
        <f>'Cash Flow Statement'!G3/(BS!E5)</f>
        <v>0.44276015451246636</v>
      </c>
      <c r="F37" s="41">
        <f>'Cash Flow Statement'!H3/(BS!F5)</f>
        <v>0.37312272628338672</v>
      </c>
      <c r="G37" s="41">
        <f>'Cash Flow Statement'!I3/(BS!G5)</f>
        <v>0.47950868076059994</v>
      </c>
      <c r="H37" s="41">
        <f>'Cash Flow Statement'!J3/(BS!H5)</f>
        <v>0.70781193676296406</v>
      </c>
      <c r="I37" s="41">
        <f>'Cash Flow Statement'!K3/(BS!I5)</f>
        <v>0.68712831182221568</v>
      </c>
      <c r="J37" s="41">
        <f>'Cash Flow Statement'!L3/(BS!J5)</f>
        <v>1.6905494816544597</v>
      </c>
      <c r="K37" s="41">
        <f>'Cash Flow Statement'!M3/(BS!K5)</f>
        <v>1.9811019854876009</v>
      </c>
      <c r="M37" s="42">
        <f>AVERAGE(B37:K37)</f>
        <v>0.7461037252878252</v>
      </c>
      <c r="N37" s="42">
        <f>MEDIAN(B37:K37)</f>
        <v>0.46113441763653318</v>
      </c>
    </row>
  </sheetData>
  <pageMargins left="0.7" right="0.7" top="0.75" bottom="0.75" header="0.511811023622047" footer="0.511811023622047"/>
  <pageSetup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5"/>
  <sheetViews>
    <sheetView showGridLines="0" zoomScale="108" zoomScaleNormal="108" workbookViewId="0">
      <pane ySplit="1" topLeftCell="A2" activePane="bottomLeft" state="frozen"/>
      <selection activeCell="I16" sqref="I16"/>
      <selection pane="bottomLeft" activeCell="I16" sqref="I16"/>
    </sheetView>
  </sheetViews>
  <sheetFormatPr defaultColWidth="8.6640625" defaultRowHeight="14.4" x14ac:dyDescent="0.3"/>
  <cols>
    <col min="1" max="1" width="20.88671875" style="8" customWidth="1"/>
    <col min="2" max="2" width="78.33203125" style="8" customWidth="1"/>
  </cols>
  <sheetData>
    <row r="1" spans="1:5" x14ac:dyDescent="0.3">
      <c r="A1" s="8" t="s">
        <v>150</v>
      </c>
      <c r="B1" s="8" t="s">
        <v>151</v>
      </c>
      <c r="C1" s="14">
        <v>45261</v>
      </c>
      <c r="D1" s="14">
        <v>45627</v>
      </c>
      <c r="E1" s="14">
        <v>45992</v>
      </c>
    </row>
    <row r="2" spans="1:5" x14ac:dyDescent="0.3">
      <c r="A2" s="8" t="s">
        <v>126</v>
      </c>
      <c r="B2" s="8" t="s">
        <v>152</v>
      </c>
      <c r="C2" s="21">
        <f>'Income Statement'!K20/'Income Statement'!K2</f>
        <v>0.13102287602069437</v>
      </c>
      <c r="D2" s="21">
        <f>'Income Statement'!L20/'Income Statement'!L2</f>
        <v>0.13164734106357456</v>
      </c>
      <c r="E2" s="21">
        <f>'Income Statement'!M20/'Income Statement'!M2</f>
        <v>0.14120359695642148</v>
      </c>
    </row>
    <row r="3" spans="1:5" x14ac:dyDescent="0.3">
      <c r="A3" s="8" t="s">
        <v>153</v>
      </c>
      <c r="B3" s="8" t="s">
        <v>154</v>
      </c>
      <c r="C3" s="21">
        <f>'Income Statement'!K2/((BalanceSheet!K39+BalanceSheet!J39)/2)</f>
        <v>1.1970154821861594</v>
      </c>
      <c r="D3" s="21">
        <f>'Income Statement'!L2/((BalanceSheet!L39+BalanceSheet!K39)/2)</f>
        <v>1.0445041893973011</v>
      </c>
      <c r="E3" s="21">
        <f>'Income Statement'!M2/((BalanceSheet!M39+BalanceSheet!L39)/2)</f>
        <v>0.89119490393506628</v>
      </c>
    </row>
    <row r="4" spans="1:5" x14ac:dyDescent="0.3">
      <c r="A4" s="8" t="s">
        <v>155</v>
      </c>
      <c r="B4" s="8" t="s">
        <v>156</v>
      </c>
      <c r="C4" s="21">
        <f>((BalanceSheet!K39+BalanceSheet!J39)/2)/((BalanceSheet!K2+BalanceSheet!K3+BalanceSheet!J2+BalanceSheet!J3)/2)</f>
        <v>2.2263289036544851</v>
      </c>
      <c r="D4" s="21">
        <f>((BalanceSheet!L39+BalanceSheet!K39)/2)/((BalanceSheet!L2+BalanceSheet!L3+BalanceSheet!K2+BalanceSheet!K3)/2)</f>
        <v>1.6270013165159043</v>
      </c>
      <c r="E4" s="21">
        <f>((BalanceSheet!M39+BalanceSheet!L39)/2)/((BalanceSheet!M2+BalanceSheet!M3+BalanceSheet!L2+BalanceSheet!L3)/2)</f>
        <v>1.3447828009284846</v>
      </c>
    </row>
    <row r="5" spans="1:5" x14ac:dyDescent="0.3">
      <c r="A5" s="21" t="s">
        <v>157</v>
      </c>
      <c r="B5" s="8" t="s">
        <v>158</v>
      </c>
      <c r="C5" s="21">
        <f>C2*C3*C4</f>
        <v>0.34916943521594684</v>
      </c>
      <c r="D5" s="21">
        <f>D2*D3*D4</f>
        <v>0.22372276723149442</v>
      </c>
      <c r="E5" s="21">
        <f>E2*E3*E4</f>
        <v>0.16922736818834971</v>
      </c>
    </row>
    <row r="6" spans="1:5" x14ac:dyDescent="0.3">
      <c r="A6" s="21" t="s">
        <v>159</v>
      </c>
      <c r="B6" s="8" t="s">
        <v>160</v>
      </c>
      <c r="C6" s="21">
        <f>'Income Statement'!K20/((BalanceSheet!K2+BalanceSheet!K3+BalanceSheet!J2+BalanceSheet!J3)/2)</f>
        <v>0.34916943521594684</v>
      </c>
      <c r="D6" s="21">
        <f>'Income Statement'!L20/((BalanceSheet!L2+BalanceSheet!L3+BalanceSheet!K2+BalanceSheet!K3)/2)</f>
        <v>0.22372276723149445</v>
      </c>
      <c r="E6" s="21">
        <f>'Income Statement'!M20/((BalanceSheet!M2+BalanceSheet!M3+BalanceSheet!L2+BalanceSheet!L3)/2)</f>
        <v>0.16922736818834974</v>
      </c>
    </row>
    <row r="7" spans="1:5" x14ac:dyDescent="0.3">
      <c r="A7" s="2" t="s">
        <v>161</v>
      </c>
      <c r="B7" s="2"/>
    </row>
    <row r="8" spans="1:5" x14ac:dyDescent="0.3">
      <c r="A8" s="8" t="s">
        <v>150</v>
      </c>
      <c r="B8" s="8" t="s">
        <v>151</v>
      </c>
      <c r="C8" s="14">
        <v>45261</v>
      </c>
      <c r="D8" s="14">
        <v>45627</v>
      </c>
      <c r="E8" s="14">
        <v>45992</v>
      </c>
    </row>
    <row r="9" spans="1:5" x14ac:dyDescent="0.3">
      <c r="A9" s="8" t="s">
        <v>162</v>
      </c>
      <c r="B9" s="8" t="s">
        <v>163</v>
      </c>
      <c r="C9" s="21">
        <f>'Income Statement'!K20/'Income Statement'!K18</f>
        <v>0.76743336984300836</v>
      </c>
      <c r="D9" s="21">
        <f>'Income Statement'!L20/'Income Statement'!L18</f>
        <v>0.76725895718030879</v>
      </c>
      <c r="E9" s="21">
        <f>'Income Statement'!M20/'Income Statement'!M18</f>
        <v>0.76359102244389032</v>
      </c>
    </row>
    <row r="10" spans="1:5" x14ac:dyDescent="0.3">
      <c r="A10" s="8" t="s">
        <v>164</v>
      </c>
      <c r="B10" s="8" t="s">
        <v>165</v>
      </c>
      <c r="C10" s="21">
        <f>'Income Statement'!K18/('Income Statement'!K18+'Income Statement'!K16)</f>
        <v>0.90366215770372815</v>
      </c>
      <c r="D10" s="21">
        <f>'Income Statement'!L18/('Income Statement'!L18+'Income Statement'!L16)</f>
        <v>0.8766598569969356</v>
      </c>
      <c r="E10" s="21">
        <f>'Income Statement'!M18/('Income Statement'!M18+'Income Statement'!M16)</f>
        <v>0.95339990489776505</v>
      </c>
    </row>
    <row r="11" spans="1:5" x14ac:dyDescent="0.3">
      <c r="A11" s="8" t="s">
        <v>166</v>
      </c>
      <c r="B11" s="8" t="s">
        <v>167</v>
      </c>
      <c r="C11" s="21">
        <f>('Income Statement'!K18+'Income Statement'!K16)/'Income Statement'!K2</f>
        <v>0.18892975129339898</v>
      </c>
      <c r="D11" s="21">
        <f>('Income Statement'!L18+'Income Statement'!L16)/'Income Statement'!L2</f>
        <v>0.19572171131547381</v>
      </c>
      <c r="E11" s="21">
        <f>('Income Statement'!M18+'Income Statement'!M16)/'Income Statement'!M2</f>
        <v>0.19395895780493427</v>
      </c>
    </row>
    <row r="12" spans="1:5" x14ac:dyDescent="0.3">
      <c r="A12" s="21" t="s">
        <v>159</v>
      </c>
      <c r="B12" s="8" t="s">
        <v>168</v>
      </c>
      <c r="C12" s="21">
        <f>C9*C10*C11*C3*C4</f>
        <v>0.34916943521594684</v>
      </c>
      <c r="D12" s="21">
        <f>D9*D10*D11*D3*D4</f>
        <v>0.22372276723149442</v>
      </c>
      <c r="E12" s="21">
        <f>E9*E10*E11*E3*E4</f>
        <v>0.16922736818834971</v>
      </c>
    </row>
    <row r="14" spans="1:5" x14ac:dyDescent="0.3">
      <c r="A14" s="21" t="s">
        <v>169</v>
      </c>
      <c r="B14" s="8" t="s">
        <v>170</v>
      </c>
      <c r="C14" s="24">
        <f>'Income Statement'!K20/((BalanceSheet!K39+BalanceSheet!J39)/2)</f>
        <v>0.15683641111732885</v>
      </c>
      <c r="D14" s="24">
        <f>'Income Statement'!L20/((BalanceSheet!L39+BalanceSheet!K39)/2)</f>
        <v>0.13750619926391897</v>
      </c>
      <c r="E14" s="24">
        <f>'Income Statement'!M20/((BalanceSheet!M39+BalanceSheet!L39)/2)</f>
        <v>0.12583992602486385</v>
      </c>
    </row>
    <row r="15" spans="1:5" x14ac:dyDescent="0.3">
      <c r="A15" s="21" t="s">
        <v>169</v>
      </c>
      <c r="B15" s="8" t="s">
        <v>171</v>
      </c>
      <c r="C15" s="24">
        <f>C2*C3</f>
        <v>0.15683641111732885</v>
      </c>
      <c r="D15" s="24">
        <f>D2*D3</f>
        <v>0.13750619926391897</v>
      </c>
      <c r="E15" s="24">
        <f>E2*E3</f>
        <v>0.12583992602486385</v>
      </c>
    </row>
  </sheetData>
  <mergeCells count="1">
    <mergeCell ref="A7:B7"/>
  </mergeCells>
  <pageMargins left="0.7" right="0.7" top="0.75" bottom="0.75" header="0.511811023622047" footer="0.511811023622047"/>
  <pageSetup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M62"/>
  <sheetViews>
    <sheetView showGridLines="0" zoomScale="79" zoomScaleNormal="79" workbookViewId="0">
      <pane ySplit="1" topLeftCell="A8" activePane="bottomLeft" state="frozen"/>
      <selection pane="bottomLeft" activeCell="D61" sqref="D61"/>
    </sheetView>
  </sheetViews>
  <sheetFormatPr defaultColWidth="8.6640625" defaultRowHeight="14.4" x14ac:dyDescent="0.3"/>
  <cols>
    <col min="1" max="1" width="24.44140625" style="8" customWidth="1"/>
    <col min="2" max="2" width="12.6640625" style="8" customWidth="1"/>
    <col min="13" max="13" width="7.77734375" style="8" customWidth="1"/>
  </cols>
  <sheetData>
    <row r="1" spans="1:13" ht="15" customHeight="1" x14ac:dyDescent="0.3">
      <c r="A1" s="8" t="s">
        <v>47</v>
      </c>
      <c r="B1" s="43">
        <v>41974</v>
      </c>
      <c r="C1" s="43">
        <v>42339</v>
      </c>
      <c r="D1" s="43">
        <v>42705</v>
      </c>
      <c r="E1" s="43">
        <v>43070</v>
      </c>
      <c r="F1" s="43">
        <v>43435</v>
      </c>
      <c r="G1" s="43">
        <v>43800</v>
      </c>
      <c r="H1" s="43">
        <v>44166</v>
      </c>
      <c r="I1" s="43">
        <v>44531</v>
      </c>
      <c r="J1" s="43">
        <v>44896</v>
      </c>
      <c r="K1" s="43">
        <v>45261</v>
      </c>
      <c r="L1" s="43">
        <v>45627</v>
      </c>
      <c r="M1" s="43">
        <v>45992</v>
      </c>
    </row>
    <row r="2" spans="1:13" x14ac:dyDescent="0.3">
      <c r="A2" s="44" t="s">
        <v>172</v>
      </c>
      <c r="B2" s="45">
        <v>134</v>
      </c>
      <c r="C2" s="45">
        <v>134</v>
      </c>
      <c r="D2" s="45">
        <v>182</v>
      </c>
      <c r="E2" s="45">
        <v>183</v>
      </c>
      <c r="F2" s="45">
        <v>183</v>
      </c>
      <c r="G2" s="45">
        <v>289</v>
      </c>
      <c r="H2" s="45">
        <v>289</v>
      </c>
      <c r="I2" s="45">
        <v>433</v>
      </c>
      <c r="J2" s="45">
        <v>650</v>
      </c>
      <c r="K2" s="45">
        <v>650</v>
      </c>
      <c r="L2" s="45">
        <v>676</v>
      </c>
      <c r="M2" s="45">
        <v>676</v>
      </c>
    </row>
    <row r="3" spans="1:13" ht="15" customHeight="1" x14ac:dyDescent="0.3">
      <c r="A3" s="46" t="s">
        <v>173</v>
      </c>
      <c r="B3" s="47">
        <v>9</v>
      </c>
      <c r="C3" s="47">
        <v>91</v>
      </c>
      <c r="D3" s="48">
        <v>1511</v>
      </c>
      <c r="E3" s="48">
        <v>1587</v>
      </c>
      <c r="F3" s="48">
        <v>1816</v>
      </c>
      <c r="G3" s="48">
        <v>3040</v>
      </c>
      <c r="H3" s="48">
        <v>3235</v>
      </c>
      <c r="I3" s="48">
        <v>3647</v>
      </c>
      <c r="J3" s="48">
        <v>4453</v>
      </c>
      <c r="K3" s="48">
        <v>6287</v>
      </c>
      <c r="L3" s="48">
        <v>15934</v>
      </c>
      <c r="M3" s="48">
        <v>18902</v>
      </c>
    </row>
    <row r="4" spans="1:13" x14ac:dyDescent="0.3">
      <c r="A4" s="49" t="s">
        <v>174</v>
      </c>
      <c r="B4" s="50">
        <v>2615</v>
      </c>
      <c r="C4" s="50">
        <v>2527</v>
      </c>
      <c r="D4" s="50">
        <v>2215</v>
      </c>
      <c r="E4" s="50">
        <v>2654</v>
      </c>
      <c r="F4" s="50">
        <v>2808</v>
      </c>
      <c r="G4" s="50">
        <v>3417</v>
      </c>
      <c r="H4" s="50">
        <v>3216</v>
      </c>
      <c r="I4" s="50">
        <v>3387</v>
      </c>
      <c r="J4" s="50">
        <v>3884</v>
      </c>
      <c r="K4" s="50">
        <v>5431</v>
      </c>
      <c r="L4" s="50">
        <v>2826</v>
      </c>
      <c r="M4" s="50">
        <v>2508</v>
      </c>
    </row>
    <row r="5" spans="1:13" x14ac:dyDescent="0.3">
      <c r="A5" s="51" t="s">
        <v>175</v>
      </c>
      <c r="B5" s="52">
        <v>1623</v>
      </c>
      <c r="C5" s="52">
        <v>1580</v>
      </c>
      <c r="D5" s="52">
        <v>1218</v>
      </c>
      <c r="E5" s="52">
        <v>1691</v>
      </c>
      <c r="F5" s="52">
        <v>1980</v>
      </c>
      <c r="G5" s="52">
        <v>2355</v>
      </c>
      <c r="H5" s="52">
        <v>1980</v>
      </c>
      <c r="I5" s="52">
        <v>1813</v>
      </c>
      <c r="J5" s="52">
        <v>1727</v>
      </c>
      <c r="K5" s="52">
        <v>3189</v>
      </c>
      <c r="L5" s="45">
        <v>841</v>
      </c>
      <c r="M5" s="45">
        <v>540</v>
      </c>
    </row>
    <row r="6" spans="1:13" x14ac:dyDescent="0.3">
      <c r="A6" s="51" t="s">
        <v>176</v>
      </c>
      <c r="B6" s="45">
        <v>509</v>
      </c>
      <c r="C6" s="45">
        <v>252</v>
      </c>
      <c r="D6" s="45">
        <v>411</v>
      </c>
      <c r="E6" s="45">
        <v>353</v>
      </c>
      <c r="F6" s="45">
        <v>378</v>
      </c>
      <c r="G6" s="45">
        <v>467</v>
      </c>
      <c r="H6" s="45">
        <v>714</v>
      </c>
      <c r="I6" s="52">
        <v>1529</v>
      </c>
      <c r="J6" s="52">
        <v>1968</v>
      </c>
      <c r="K6" s="52">
        <v>2005</v>
      </c>
      <c r="L6" s="52">
        <v>1524</v>
      </c>
      <c r="M6" s="52">
        <v>1484</v>
      </c>
    </row>
    <row r="7" spans="1:13" x14ac:dyDescent="0.3">
      <c r="A7" s="51" t="s">
        <v>177</v>
      </c>
      <c r="B7" s="45">
        <v>0</v>
      </c>
      <c r="C7" s="45">
        <v>0</v>
      </c>
      <c r="D7" s="45">
        <v>0</v>
      </c>
      <c r="E7" s="45">
        <v>0</v>
      </c>
      <c r="F7" s="45">
        <v>0</v>
      </c>
      <c r="G7" s="45">
        <v>0</v>
      </c>
      <c r="H7" s="45">
        <v>0</v>
      </c>
      <c r="I7" s="45">
        <v>45</v>
      </c>
      <c r="J7" s="45">
        <v>189</v>
      </c>
      <c r="K7" s="45">
        <v>237</v>
      </c>
      <c r="L7" s="45">
        <v>462</v>
      </c>
      <c r="M7" s="45">
        <v>484</v>
      </c>
    </row>
    <row r="8" spans="1:13" x14ac:dyDescent="0.3">
      <c r="A8" s="51" t="s">
        <v>178</v>
      </c>
      <c r="B8" s="45">
        <v>200</v>
      </c>
      <c r="C8" s="45">
        <v>450</v>
      </c>
      <c r="D8" s="45">
        <v>0</v>
      </c>
      <c r="E8" s="45">
        <v>0</v>
      </c>
      <c r="F8" s="45">
        <v>0</v>
      </c>
      <c r="G8" s="45">
        <v>0</v>
      </c>
      <c r="H8" s="45">
        <v>0</v>
      </c>
      <c r="I8" s="45">
        <v>0</v>
      </c>
      <c r="J8" s="45">
        <v>0</v>
      </c>
      <c r="K8" s="45">
        <v>0</v>
      </c>
      <c r="L8" s="45">
        <v>0</v>
      </c>
      <c r="M8" s="45">
        <v>0</v>
      </c>
    </row>
    <row r="9" spans="1:13" ht="15" customHeight="1" x14ac:dyDescent="0.3">
      <c r="A9" s="51" t="s">
        <v>179</v>
      </c>
      <c r="B9" s="45">
        <v>284</v>
      </c>
      <c r="C9" s="45">
        <v>245</v>
      </c>
      <c r="D9" s="45">
        <v>586</v>
      </c>
      <c r="E9" s="45">
        <v>609</v>
      </c>
      <c r="F9" s="45">
        <v>450</v>
      </c>
      <c r="G9" s="45">
        <v>595</v>
      </c>
      <c r="H9" s="45">
        <v>523</v>
      </c>
      <c r="I9" s="45">
        <v>0</v>
      </c>
      <c r="J9" s="45">
        <v>0</v>
      </c>
      <c r="K9" s="45">
        <v>0</v>
      </c>
      <c r="L9" s="45">
        <v>0</v>
      </c>
      <c r="M9" s="45">
        <v>0</v>
      </c>
    </row>
    <row r="10" spans="1:13" x14ac:dyDescent="0.3">
      <c r="A10" s="53" t="s">
        <v>180</v>
      </c>
      <c r="B10" s="54">
        <v>533</v>
      </c>
      <c r="C10" s="55">
        <v>1680</v>
      </c>
      <c r="D10" s="54">
        <v>915</v>
      </c>
      <c r="E10" s="54">
        <v>852</v>
      </c>
      <c r="F10" s="55">
        <v>1192</v>
      </c>
      <c r="G10" s="55">
        <v>1630</v>
      </c>
      <c r="H10" s="55">
        <v>1707</v>
      </c>
      <c r="I10" s="55">
        <v>2113</v>
      </c>
      <c r="J10" s="55">
        <v>2632</v>
      </c>
      <c r="K10" s="55">
        <v>2819</v>
      </c>
      <c r="L10" s="55">
        <v>3688</v>
      </c>
      <c r="M10" s="55">
        <v>3454</v>
      </c>
    </row>
    <row r="11" spans="1:13" x14ac:dyDescent="0.3">
      <c r="A11" s="56" t="s">
        <v>181</v>
      </c>
      <c r="B11" s="47">
        <v>0</v>
      </c>
      <c r="C11" s="47">
        <v>0</v>
      </c>
      <c r="D11" s="47">
        <v>-13</v>
      </c>
      <c r="E11" s="47">
        <v>-1</v>
      </c>
      <c r="F11" s="47">
        <v>8</v>
      </c>
      <c r="G11" s="47">
        <v>31</v>
      </c>
      <c r="H11" s="47">
        <v>65</v>
      </c>
      <c r="I11" s="47">
        <v>117</v>
      </c>
      <c r="J11" s="47">
        <v>113</v>
      </c>
      <c r="K11" s="47">
        <v>148</v>
      </c>
      <c r="L11" s="47">
        <v>130</v>
      </c>
      <c r="M11" s="47">
        <v>162</v>
      </c>
    </row>
    <row r="12" spans="1:13" x14ac:dyDescent="0.3">
      <c r="A12" s="56" t="s">
        <v>182</v>
      </c>
      <c r="B12" s="47">
        <v>181</v>
      </c>
      <c r="C12" s="47">
        <v>185</v>
      </c>
      <c r="D12" s="47">
        <v>275</v>
      </c>
      <c r="E12" s="47">
        <v>191</v>
      </c>
      <c r="F12" s="47">
        <v>317</v>
      </c>
      <c r="G12" s="47">
        <v>478</v>
      </c>
      <c r="H12" s="47">
        <v>511</v>
      </c>
      <c r="I12" s="47">
        <v>712</v>
      </c>
      <c r="J12" s="47">
        <v>824</v>
      </c>
      <c r="K12" s="47">
        <v>758</v>
      </c>
      <c r="L12" s="48">
        <v>1560</v>
      </c>
      <c r="M12" s="48">
        <v>1401</v>
      </c>
    </row>
    <row r="13" spans="1:13" x14ac:dyDescent="0.3">
      <c r="A13" s="56" t="s">
        <v>183</v>
      </c>
      <c r="B13" s="47">
        <v>18</v>
      </c>
      <c r="C13" s="47">
        <v>61</v>
      </c>
      <c r="D13" s="47">
        <v>96</v>
      </c>
      <c r="E13" s="47">
        <v>71</v>
      </c>
      <c r="F13" s="47">
        <v>69</v>
      </c>
      <c r="G13" s="47">
        <v>113</v>
      </c>
      <c r="H13" s="47">
        <v>173</v>
      </c>
      <c r="I13" s="47">
        <v>79</v>
      </c>
      <c r="J13" s="47">
        <v>203</v>
      </c>
      <c r="K13" s="47">
        <v>180</v>
      </c>
      <c r="L13" s="47">
        <v>219</v>
      </c>
      <c r="M13" s="47">
        <v>159</v>
      </c>
    </row>
    <row r="14" spans="1:13" ht="15" customHeight="1" x14ac:dyDescent="0.3">
      <c r="A14" s="56" t="s">
        <v>184</v>
      </c>
      <c r="B14" s="47">
        <v>335</v>
      </c>
      <c r="C14" s="48">
        <v>1435</v>
      </c>
      <c r="D14" s="47">
        <v>558</v>
      </c>
      <c r="E14" s="47">
        <v>592</v>
      </c>
      <c r="F14" s="47">
        <v>799</v>
      </c>
      <c r="G14" s="48">
        <v>1009</v>
      </c>
      <c r="H14" s="47">
        <v>958</v>
      </c>
      <c r="I14" s="48">
        <v>1205</v>
      </c>
      <c r="J14" s="48">
        <v>1491</v>
      </c>
      <c r="K14" s="48">
        <v>1732</v>
      </c>
      <c r="L14" s="48">
        <v>1778</v>
      </c>
      <c r="M14" s="48">
        <v>1731</v>
      </c>
    </row>
    <row r="15" spans="1:13" ht="15" customHeight="1" x14ac:dyDescent="0.3">
      <c r="A15" s="49" t="s">
        <v>185</v>
      </c>
      <c r="B15" s="50">
        <v>3292</v>
      </c>
      <c r="C15" s="50">
        <v>4431</v>
      </c>
      <c r="D15" s="50">
        <v>4824</v>
      </c>
      <c r="E15" s="50">
        <v>5276</v>
      </c>
      <c r="F15" s="50">
        <v>5998</v>
      </c>
      <c r="G15" s="50">
        <v>8376</v>
      </c>
      <c r="H15" s="50">
        <v>8447</v>
      </c>
      <c r="I15" s="50">
        <v>9579</v>
      </c>
      <c r="J15" s="50">
        <v>11618</v>
      </c>
      <c r="K15" s="50">
        <v>15187</v>
      </c>
      <c r="L15" s="50">
        <v>23124</v>
      </c>
      <c r="M15" s="50">
        <v>25541</v>
      </c>
    </row>
    <row r="16" spans="1:13" x14ac:dyDescent="0.3">
      <c r="A16" s="53" t="s">
        <v>186</v>
      </c>
      <c r="B16" s="55">
        <v>2355</v>
      </c>
      <c r="C16" s="55">
        <v>3496</v>
      </c>
      <c r="D16" s="55">
        <v>3716</v>
      </c>
      <c r="E16" s="55">
        <v>3981</v>
      </c>
      <c r="F16" s="55">
        <v>4387</v>
      </c>
      <c r="G16" s="55">
        <v>6479</v>
      </c>
      <c r="H16" s="55">
        <v>6409</v>
      </c>
      <c r="I16" s="55">
        <v>6311</v>
      </c>
      <c r="J16" s="55">
        <v>6932</v>
      </c>
      <c r="K16" s="55">
        <v>8409</v>
      </c>
      <c r="L16" s="55">
        <v>13402</v>
      </c>
      <c r="M16" s="55">
        <v>16759</v>
      </c>
    </row>
    <row r="17" spans="1:13" x14ac:dyDescent="0.3">
      <c r="A17" s="56" t="s">
        <v>187</v>
      </c>
      <c r="B17" s="47">
        <v>449</v>
      </c>
      <c r="C17" s="47">
        <v>586</v>
      </c>
      <c r="D17" s="47">
        <v>683</v>
      </c>
      <c r="E17" s="47">
        <v>692</v>
      </c>
      <c r="F17" s="47">
        <v>783</v>
      </c>
      <c r="G17" s="48">
        <v>1209</v>
      </c>
      <c r="H17" s="48">
        <v>1250</v>
      </c>
      <c r="I17" s="48">
        <v>1296</v>
      </c>
      <c r="J17" s="48">
        <v>1679</v>
      </c>
      <c r="K17" s="48">
        <v>1832</v>
      </c>
      <c r="L17" s="48">
        <v>1902</v>
      </c>
      <c r="M17" s="48">
        <v>1994</v>
      </c>
    </row>
    <row r="18" spans="1:13" x14ac:dyDescent="0.3">
      <c r="A18" s="56" t="s">
        <v>188</v>
      </c>
      <c r="B18" s="47">
        <v>383</v>
      </c>
      <c r="C18" s="47">
        <v>478</v>
      </c>
      <c r="D18" s="47">
        <v>545</v>
      </c>
      <c r="E18" s="47">
        <v>636</v>
      </c>
      <c r="F18" s="47">
        <v>818</v>
      </c>
      <c r="G18" s="48">
        <v>1308</v>
      </c>
      <c r="H18" s="48">
        <v>1392</v>
      </c>
      <c r="I18" s="48">
        <v>1474</v>
      </c>
      <c r="J18" s="48">
        <v>1587</v>
      </c>
      <c r="K18" s="48">
        <v>1958</v>
      </c>
      <c r="L18" s="48">
        <v>3408</v>
      </c>
      <c r="M18" s="48">
        <v>4525</v>
      </c>
    </row>
    <row r="19" spans="1:13" x14ac:dyDescent="0.3">
      <c r="A19" s="56" t="s">
        <v>189</v>
      </c>
      <c r="B19" s="48">
        <v>1212</v>
      </c>
      <c r="C19" s="48">
        <v>1661</v>
      </c>
      <c r="D19" s="48">
        <v>1835</v>
      </c>
      <c r="E19" s="48">
        <v>2075</v>
      </c>
      <c r="F19" s="48">
        <v>2248</v>
      </c>
      <c r="G19" s="48">
        <v>3565</v>
      </c>
      <c r="H19" s="48">
        <v>3831</v>
      </c>
      <c r="I19" s="48">
        <v>3967</v>
      </c>
      <c r="J19" s="48">
        <v>4401</v>
      </c>
      <c r="K19" s="48">
        <v>5499</v>
      </c>
      <c r="L19" s="48">
        <v>8598</v>
      </c>
      <c r="M19" s="48">
        <v>11225</v>
      </c>
    </row>
    <row r="20" spans="1:13" x14ac:dyDescent="0.3">
      <c r="A20" s="56" t="s">
        <v>190</v>
      </c>
      <c r="B20" s="47">
        <v>10</v>
      </c>
      <c r="C20" s="47">
        <v>832</v>
      </c>
      <c r="D20" s="47">
        <v>916</v>
      </c>
      <c r="E20" s="47">
        <v>936</v>
      </c>
      <c r="F20" s="48">
        <v>1021</v>
      </c>
      <c r="G20" s="48">
        <v>1194</v>
      </c>
      <c r="H20" s="48">
        <v>1212</v>
      </c>
      <c r="I20" s="48">
        <v>1242</v>
      </c>
      <c r="J20" s="48">
        <v>1238</v>
      </c>
      <c r="K20" s="48">
        <v>1293</v>
      </c>
      <c r="L20" s="48">
        <v>1529</v>
      </c>
      <c r="M20" s="48">
        <v>1899</v>
      </c>
    </row>
    <row r="21" spans="1:13" x14ac:dyDescent="0.3">
      <c r="A21" s="56" t="s">
        <v>191</v>
      </c>
      <c r="B21" s="47">
        <v>11</v>
      </c>
      <c r="C21" s="47">
        <v>15</v>
      </c>
      <c r="D21" s="47">
        <v>18</v>
      </c>
      <c r="E21" s="47">
        <v>20</v>
      </c>
      <c r="F21" s="47">
        <v>17</v>
      </c>
      <c r="G21" s="47">
        <v>23</v>
      </c>
      <c r="H21" s="47">
        <v>25</v>
      </c>
      <c r="I21" s="47">
        <v>28</v>
      </c>
      <c r="J21" s="47">
        <v>33</v>
      </c>
      <c r="K21" s="47">
        <v>41</v>
      </c>
      <c r="L21" s="47">
        <v>65</v>
      </c>
      <c r="M21" s="47">
        <v>82</v>
      </c>
    </row>
    <row r="22" spans="1:13" x14ac:dyDescent="0.3">
      <c r="A22" s="56" t="s">
        <v>192</v>
      </c>
      <c r="B22" s="47">
        <v>10</v>
      </c>
      <c r="C22" s="47">
        <v>14</v>
      </c>
      <c r="D22" s="47">
        <v>16</v>
      </c>
      <c r="E22" s="47">
        <v>17</v>
      </c>
      <c r="F22" s="47">
        <v>20</v>
      </c>
      <c r="G22" s="47">
        <v>25</v>
      </c>
      <c r="H22" s="47">
        <v>26</v>
      </c>
      <c r="I22" s="47">
        <v>29</v>
      </c>
      <c r="J22" s="47">
        <v>29</v>
      </c>
      <c r="K22" s="47">
        <v>41</v>
      </c>
      <c r="L22" s="47">
        <v>69</v>
      </c>
      <c r="M22" s="47">
        <v>72</v>
      </c>
    </row>
    <row r="23" spans="1:13" x14ac:dyDescent="0.3">
      <c r="A23" s="56" t="s">
        <v>193</v>
      </c>
      <c r="B23" s="47">
        <v>121</v>
      </c>
      <c r="C23" s="47">
        <v>132</v>
      </c>
      <c r="D23" s="47">
        <v>169</v>
      </c>
      <c r="E23" s="47">
        <v>173</v>
      </c>
      <c r="F23" s="47">
        <v>652</v>
      </c>
      <c r="G23" s="47">
        <v>742</v>
      </c>
      <c r="H23" s="47">
        <v>622</v>
      </c>
      <c r="I23" s="47">
        <v>690</v>
      </c>
      <c r="J23" s="47">
        <v>795</v>
      </c>
      <c r="K23" s="48">
        <v>1086</v>
      </c>
      <c r="L23" s="48">
        <v>1500</v>
      </c>
      <c r="M23" s="48">
        <v>1856</v>
      </c>
    </row>
    <row r="24" spans="1:13" x14ac:dyDescent="0.3">
      <c r="A24" s="56" t="s">
        <v>194</v>
      </c>
      <c r="B24" s="47">
        <v>10</v>
      </c>
      <c r="C24" s="47">
        <v>435</v>
      </c>
      <c r="D24" s="47">
        <v>414</v>
      </c>
      <c r="E24" s="47">
        <v>497</v>
      </c>
      <c r="F24" s="47">
        <v>584</v>
      </c>
      <c r="G24" s="47">
        <v>644</v>
      </c>
      <c r="H24" s="47">
        <v>644</v>
      </c>
      <c r="I24" s="47">
        <v>644</v>
      </c>
      <c r="J24" s="47">
        <v>644</v>
      </c>
      <c r="K24" s="47">
        <v>644</v>
      </c>
      <c r="L24" s="48">
        <v>1532</v>
      </c>
      <c r="M24" s="48">
        <v>1711</v>
      </c>
    </row>
    <row r="25" spans="1:13" ht="15" customHeight="1" x14ac:dyDescent="0.3">
      <c r="A25" s="56" t="s">
        <v>195</v>
      </c>
      <c r="B25" s="48">
        <v>3174</v>
      </c>
      <c r="C25" s="47">
        <v>479</v>
      </c>
      <c r="D25" s="47">
        <v>563</v>
      </c>
      <c r="E25" s="47">
        <v>588</v>
      </c>
      <c r="F25" s="47">
        <v>30</v>
      </c>
      <c r="G25" s="47">
        <v>35</v>
      </c>
      <c r="H25" s="47">
        <v>32</v>
      </c>
      <c r="I25" s="47">
        <v>38</v>
      </c>
      <c r="J25" s="47">
        <v>35</v>
      </c>
      <c r="K25" s="47">
        <v>51</v>
      </c>
      <c r="L25" s="47">
        <v>200</v>
      </c>
      <c r="M25" s="47">
        <v>236</v>
      </c>
    </row>
    <row r="26" spans="1:13" x14ac:dyDescent="0.3">
      <c r="A26" s="57" t="s">
        <v>196</v>
      </c>
      <c r="B26" s="55">
        <v>5380</v>
      </c>
      <c r="C26" s="55">
        <v>4632</v>
      </c>
      <c r="D26" s="55">
        <v>5159</v>
      </c>
      <c r="E26" s="55">
        <v>5635</v>
      </c>
      <c r="F26" s="55">
        <v>6172</v>
      </c>
      <c r="G26" s="55">
        <v>8745</v>
      </c>
      <c r="H26" s="55">
        <v>9033</v>
      </c>
      <c r="I26" s="55">
        <v>9410</v>
      </c>
      <c r="J26" s="55">
        <v>10441</v>
      </c>
      <c r="K26" s="55">
        <v>12445</v>
      </c>
      <c r="L26" s="55">
        <v>18802</v>
      </c>
      <c r="M26" s="55">
        <v>23600</v>
      </c>
    </row>
    <row r="27" spans="1:13" x14ac:dyDescent="0.3">
      <c r="A27" s="56" t="s">
        <v>197</v>
      </c>
      <c r="B27" s="48">
        <v>3026</v>
      </c>
      <c r="C27" s="48">
        <v>1137</v>
      </c>
      <c r="D27" s="48">
        <v>1443</v>
      </c>
      <c r="E27" s="48">
        <v>1654</v>
      </c>
      <c r="F27" s="48">
        <v>1785</v>
      </c>
      <c r="G27" s="48">
        <v>2265</v>
      </c>
      <c r="H27" s="48">
        <v>2624</v>
      </c>
      <c r="I27" s="48">
        <v>3099</v>
      </c>
      <c r="J27" s="48">
        <v>3509</v>
      </c>
      <c r="K27" s="48">
        <v>4036</v>
      </c>
      <c r="L27" s="48">
        <v>5400</v>
      </c>
      <c r="M27" s="48">
        <v>6841</v>
      </c>
    </row>
    <row r="28" spans="1:13" x14ac:dyDescent="0.3">
      <c r="A28" s="44" t="s">
        <v>198</v>
      </c>
      <c r="B28" s="45">
        <v>25</v>
      </c>
      <c r="C28" s="45">
        <v>38</v>
      </c>
      <c r="D28" s="45">
        <v>96</v>
      </c>
      <c r="E28" s="45">
        <v>145</v>
      </c>
      <c r="F28" s="45">
        <v>352</v>
      </c>
      <c r="G28" s="45">
        <v>64</v>
      </c>
      <c r="H28" s="45">
        <v>67</v>
      </c>
      <c r="I28" s="45">
        <v>497</v>
      </c>
      <c r="J28" s="45">
        <v>607</v>
      </c>
      <c r="K28" s="52">
        <v>1922</v>
      </c>
      <c r="L28" s="52">
        <v>1167</v>
      </c>
      <c r="M28" s="45">
        <v>271</v>
      </c>
    </row>
    <row r="29" spans="1:13" ht="15" customHeight="1" x14ac:dyDescent="0.3">
      <c r="A29" s="46" t="s">
        <v>199</v>
      </c>
      <c r="B29" s="47">
        <v>304</v>
      </c>
      <c r="C29" s="47">
        <v>3</v>
      </c>
      <c r="D29" s="47">
        <v>7</v>
      </c>
      <c r="E29" s="47">
        <v>8</v>
      </c>
      <c r="F29" s="47">
        <v>11</v>
      </c>
      <c r="G29" s="47">
        <v>0</v>
      </c>
      <c r="H29" s="47">
        <v>0</v>
      </c>
      <c r="I29" s="47">
        <v>0</v>
      </c>
      <c r="J29" s="47">
        <v>0</v>
      </c>
      <c r="K29" s="47">
        <v>21</v>
      </c>
      <c r="L29" s="47">
        <v>60</v>
      </c>
      <c r="M29" s="47">
        <v>174</v>
      </c>
    </row>
    <row r="30" spans="1:13" x14ac:dyDescent="0.3">
      <c r="A30" s="49" t="s">
        <v>200</v>
      </c>
      <c r="B30" s="58">
        <v>608</v>
      </c>
      <c r="C30" s="58">
        <v>894</v>
      </c>
      <c r="D30" s="50">
        <v>1006</v>
      </c>
      <c r="E30" s="50">
        <v>1141</v>
      </c>
      <c r="F30" s="50">
        <v>1247</v>
      </c>
      <c r="G30" s="50">
        <v>1833</v>
      </c>
      <c r="H30" s="50">
        <v>1972</v>
      </c>
      <c r="I30" s="50">
        <v>2772</v>
      </c>
      <c r="J30" s="50">
        <v>4079</v>
      </c>
      <c r="K30" s="50">
        <v>4835</v>
      </c>
      <c r="L30" s="50">
        <v>8496</v>
      </c>
      <c r="M30" s="50">
        <v>8337</v>
      </c>
    </row>
    <row r="31" spans="1:13" ht="15" customHeight="1" x14ac:dyDescent="0.3">
      <c r="A31" s="51" t="s">
        <v>104</v>
      </c>
      <c r="B31" s="45">
        <v>289</v>
      </c>
      <c r="C31" s="45">
        <v>425</v>
      </c>
      <c r="D31" s="45">
        <v>490</v>
      </c>
      <c r="E31" s="45">
        <v>439</v>
      </c>
      <c r="F31" s="45">
        <v>578</v>
      </c>
      <c r="G31" s="45">
        <v>882</v>
      </c>
      <c r="H31" s="45">
        <v>929</v>
      </c>
      <c r="I31" s="52">
        <v>1448</v>
      </c>
      <c r="J31" s="52">
        <v>1994</v>
      </c>
      <c r="K31" s="52">
        <v>2151</v>
      </c>
      <c r="L31" s="52">
        <v>2791</v>
      </c>
      <c r="M31" s="52">
        <v>2952</v>
      </c>
    </row>
    <row r="32" spans="1:13" x14ac:dyDescent="0.3">
      <c r="A32" s="59" t="s">
        <v>201</v>
      </c>
      <c r="B32" s="58">
        <v>97</v>
      </c>
      <c r="C32" s="58">
        <v>98</v>
      </c>
      <c r="D32" s="58">
        <v>131</v>
      </c>
      <c r="E32" s="58">
        <v>150</v>
      </c>
      <c r="F32" s="58">
        <v>128</v>
      </c>
      <c r="G32" s="58">
        <v>173</v>
      </c>
      <c r="H32" s="58">
        <v>242</v>
      </c>
      <c r="I32" s="58">
        <v>221</v>
      </c>
      <c r="J32" s="58">
        <v>299</v>
      </c>
      <c r="K32" s="58">
        <v>359</v>
      </c>
      <c r="L32" s="58">
        <v>846</v>
      </c>
      <c r="M32" s="50">
        <v>1249</v>
      </c>
    </row>
    <row r="33" spans="1:13" x14ac:dyDescent="0.3">
      <c r="A33" s="51" t="s">
        <v>202</v>
      </c>
      <c r="B33" s="45">
        <v>36</v>
      </c>
      <c r="C33" s="45">
        <v>50</v>
      </c>
      <c r="D33" s="45">
        <v>0</v>
      </c>
      <c r="E33" s="45">
        <v>0</v>
      </c>
      <c r="F33" s="45">
        <v>0</v>
      </c>
      <c r="G33" s="45">
        <v>0</v>
      </c>
      <c r="H33" s="45">
        <v>0</v>
      </c>
      <c r="I33" s="45">
        <v>59</v>
      </c>
      <c r="J33" s="45">
        <v>55</v>
      </c>
      <c r="K33" s="45">
        <v>0</v>
      </c>
      <c r="L33" s="45">
        <v>87</v>
      </c>
      <c r="M33" s="45">
        <v>137</v>
      </c>
    </row>
    <row r="34" spans="1:13" x14ac:dyDescent="0.3">
      <c r="A34" s="51" t="s">
        <v>203</v>
      </c>
      <c r="B34" s="45">
        <v>76</v>
      </c>
      <c r="C34" s="45">
        <v>65</v>
      </c>
      <c r="D34" s="45">
        <v>157</v>
      </c>
      <c r="E34" s="45">
        <v>180</v>
      </c>
      <c r="F34" s="45">
        <v>163</v>
      </c>
      <c r="G34" s="45">
        <v>212</v>
      </c>
      <c r="H34" s="45">
        <v>285</v>
      </c>
      <c r="I34" s="45">
        <v>212</v>
      </c>
      <c r="J34" s="45">
        <v>298</v>
      </c>
      <c r="K34" s="45">
        <v>418</v>
      </c>
      <c r="L34" s="45">
        <v>866</v>
      </c>
      <c r="M34" s="52">
        <v>1224</v>
      </c>
    </row>
    <row r="35" spans="1:13" x14ac:dyDescent="0.3">
      <c r="A35" s="60" t="s">
        <v>204</v>
      </c>
      <c r="B35" s="45">
        <v>-15</v>
      </c>
      <c r="C35" s="45">
        <v>-17</v>
      </c>
      <c r="D35" s="45">
        <v>-25</v>
      </c>
      <c r="E35" s="45">
        <v>-30</v>
      </c>
      <c r="F35" s="45">
        <v>-35</v>
      </c>
      <c r="G35" s="45">
        <v>-39</v>
      </c>
      <c r="H35" s="45">
        <v>-44</v>
      </c>
      <c r="I35" s="45">
        <v>-50</v>
      </c>
      <c r="J35" s="45">
        <v>-54</v>
      </c>
      <c r="K35" s="45">
        <v>-59</v>
      </c>
      <c r="L35" s="45">
        <v>-108</v>
      </c>
      <c r="M35" s="45">
        <v>-112</v>
      </c>
    </row>
    <row r="36" spans="1:13" x14ac:dyDescent="0.3">
      <c r="A36" s="60" t="s">
        <v>205</v>
      </c>
      <c r="B36" s="45">
        <v>34</v>
      </c>
      <c r="C36" s="45">
        <v>58</v>
      </c>
      <c r="D36" s="45">
        <v>66</v>
      </c>
      <c r="E36" s="45">
        <v>94</v>
      </c>
      <c r="F36" s="45">
        <v>93</v>
      </c>
      <c r="G36" s="45">
        <v>171</v>
      </c>
      <c r="H36" s="45">
        <v>190</v>
      </c>
      <c r="I36" s="45">
        <v>337</v>
      </c>
      <c r="J36" s="45">
        <v>285</v>
      </c>
      <c r="K36" s="45">
        <v>460</v>
      </c>
      <c r="L36" s="52">
        <v>2450</v>
      </c>
      <c r="M36" s="52">
        <v>1998</v>
      </c>
    </row>
    <row r="37" spans="1:13" x14ac:dyDescent="0.3">
      <c r="A37" s="60" t="s">
        <v>206</v>
      </c>
      <c r="B37" s="45">
        <v>63</v>
      </c>
      <c r="C37" s="45">
        <v>57</v>
      </c>
      <c r="D37" s="45">
        <v>93</v>
      </c>
      <c r="E37" s="45">
        <v>89</v>
      </c>
      <c r="F37" s="45">
        <v>103</v>
      </c>
      <c r="G37" s="45">
        <v>128</v>
      </c>
      <c r="H37" s="45">
        <v>192</v>
      </c>
      <c r="I37" s="45">
        <v>187</v>
      </c>
      <c r="J37" s="45">
        <v>288</v>
      </c>
      <c r="K37" s="45">
        <v>253</v>
      </c>
      <c r="L37" s="45">
        <v>664</v>
      </c>
      <c r="M37" s="45">
        <v>300</v>
      </c>
    </row>
    <row r="38" spans="1:13" ht="15" customHeight="1" x14ac:dyDescent="0.3">
      <c r="A38" s="60" t="s">
        <v>207</v>
      </c>
      <c r="B38" s="45">
        <v>125</v>
      </c>
      <c r="C38" s="45">
        <v>257</v>
      </c>
      <c r="D38" s="45">
        <v>227</v>
      </c>
      <c r="E38" s="45">
        <v>369</v>
      </c>
      <c r="F38" s="45">
        <v>345</v>
      </c>
      <c r="G38" s="45">
        <v>480</v>
      </c>
      <c r="H38" s="45">
        <v>420</v>
      </c>
      <c r="I38" s="45">
        <v>579</v>
      </c>
      <c r="J38" s="52">
        <v>1213</v>
      </c>
      <c r="K38" s="52">
        <v>1612</v>
      </c>
      <c r="L38" s="52">
        <v>1745</v>
      </c>
      <c r="M38" s="52">
        <v>1837</v>
      </c>
    </row>
    <row r="39" spans="1:13" x14ac:dyDescent="0.3">
      <c r="A39" s="53" t="s">
        <v>208</v>
      </c>
      <c r="B39" s="55">
        <v>3292</v>
      </c>
      <c r="C39" s="55">
        <v>4431</v>
      </c>
      <c r="D39" s="55">
        <v>4824</v>
      </c>
      <c r="E39" s="55">
        <v>5276</v>
      </c>
      <c r="F39" s="55">
        <v>5998</v>
      </c>
      <c r="G39" s="55">
        <v>8376</v>
      </c>
      <c r="H39" s="55">
        <v>8447</v>
      </c>
      <c r="I39" s="55">
        <v>9579</v>
      </c>
      <c r="J39" s="55">
        <v>11618</v>
      </c>
      <c r="K39" s="55">
        <v>15187</v>
      </c>
      <c r="L39" s="55">
        <v>23124</v>
      </c>
      <c r="M39" s="55">
        <v>25541</v>
      </c>
    </row>
    <row r="53" spans="1:4" x14ac:dyDescent="0.3">
      <c r="A53" s="8">
        <v>2016</v>
      </c>
      <c r="B53" s="8">
        <v>307.67</v>
      </c>
      <c r="C53">
        <v>3.0760000000000001</v>
      </c>
      <c r="D53" s="24">
        <f t="shared" ref="D53:D62" si="0">B53*C53</f>
        <v>946.39292000000012</v>
      </c>
    </row>
    <row r="54" spans="1:4" x14ac:dyDescent="0.3">
      <c r="A54" s="8">
        <v>2017</v>
      </c>
      <c r="B54" s="8">
        <v>308.14999999999998</v>
      </c>
      <c r="C54">
        <v>3.081</v>
      </c>
      <c r="D54" s="24">
        <f t="shared" si="0"/>
        <v>949.41014999999993</v>
      </c>
    </row>
    <row r="55" spans="1:4" x14ac:dyDescent="0.3">
      <c r="A55" s="8">
        <v>2018</v>
      </c>
      <c r="B55" s="8">
        <v>308.20999999999998</v>
      </c>
      <c r="C55">
        <v>3.0819999999999999</v>
      </c>
      <c r="D55" s="24">
        <f t="shared" si="0"/>
        <v>949.90321999999992</v>
      </c>
    </row>
    <row r="56" spans="1:4" x14ac:dyDescent="0.3">
      <c r="A56" s="8">
        <v>2019</v>
      </c>
      <c r="B56" s="8">
        <v>324.77</v>
      </c>
      <c r="C56">
        <v>3.2469999999999999</v>
      </c>
      <c r="D56" s="24">
        <f t="shared" si="0"/>
        <v>1054.52819</v>
      </c>
    </row>
    <row r="57" spans="1:4" x14ac:dyDescent="0.3">
      <c r="A57" s="8">
        <v>2020</v>
      </c>
      <c r="B57" s="8">
        <v>324.77</v>
      </c>
      <c r="C57">
        <v>3.2469999999999999</v>
      </c>
      <c r="D57" s="24">
        <f t="shared" si="0"/>
        <v>1054.52819</v>
      </c>
    </row>
    <row r="58" spans="1:4" x14ac:dyDescent="0.3">
      <c r="A58" s="8">
        <v>2021</v>
      </c>
      <c r="B58" s="8">
        <v>324.77999999999997</v>
      </c>
      <c r="C58">
        <v>3.2469999999999999</v>
      </c>
      <c r="D58" s="24">
        <f t="shared" si="0"/>
        <v>1054.5606599999999</v>
      </c>
    </row>
    <row r="59" spans="1:4" x14ac:dyDescent="0.3">
      <c r="A59" s="8">
        <v>2022</v>
      </c>
      <c r="B59" s="8">
        <v>324.77999999999997</v>
      </c>
      <c r="C59">
        <v>3.2469999999999999</v>
      </c>
      <c r="D59" s="24">
        <f t="shared" si="0"/>
        <v>1054.5606599999999</v>
      </c>
    </row>
    <row r="60" spans="1:4" x14ac:dyDescent="0.3">
      <c r="A60" s="8">
        <v>2023</v>
      </c>
      <c r="B60" s="8">
        <v>324.8</v>
      </c>
      <c r="C60">
        <v>3.2480000000000002</v>
      </c>
      <c r="D60" s="24">
        <f t="shared" si="0"/>
        <v>1054.9504000000002</v>
      </c>
    </row>
    <row r="61" spans="1:4" x14ac:dyDescent="0.3">
      <c r="A61" s="8">
        <v>2024</v>
      </c>
      <c r="B61" s="8">
        <v>338.15</v>
      </c>
      <c r="C61">
        <v>3.3809999999999998</v>
      </c>
      <c r="D61" s="24">
        <f t="shared" si="0"/>
        <v>1143.2851499999999</v>
      </c>
    </row>
    <row r="62" spans="1:4" x14ac:dyDescent="0.3">
      <c r="A62" s="8">
        <v>2025</v>
      </c>
      <c r="B62" s="8">
        <v>338.2</v>
      </c>
      <c r="C62">
        <v>3.3820000000000001</v>
      </c>
      <c r="D62" s="24">
        <f t="shared" si="0"/>
        <v>1143.7924</v>
      </c>
    </row>
  </sheetData>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K22"/>
  <sheetViews>
    <sheetView showGridLines="0" zoomScaleNormal="100" workbookViewId="0">
      <selection activeCell="K15" sqref="K15"/>
    </sheetView>
  </sheetViews>
  <sheetFormatPr defaultColWidth="8.6640625" defaultRowHeight="14.4" x14ac:dyDescent="0.3"/>
  <cols>
    <col min="1" max="1" width="30" style="8" customWidth="1"/>
    <col min="2" max="11" width="12" style="8" customWidth="1"/>
  </cols>
  <sheetData>
    <row r="1" spans="1:11" x14ac:dyDescent="0.3">
      <c r="A1" s="67" t="s">
        <v>235</v>
      </c>
      <c r="B1" s="67" t="s">
        <v>236</v>
      </c>
      <c r="C1" s="67" t="s">
        <v>237</v>
      </c>
      <c r="D1" s="67" t="s">
        <v>238</v>
      </c>
      <c r="E1" s="67" t="s">
        <v>239</v>
      </c>
      <c r="F1" s="67" t="s">
        <v>240</v>
      </c>
      <c r="G1" s="67" t="s">
        <v>241</v>
      </c>
      <c r="H1" s="67" t="s">
        <v>242</v>
      </c>
      <c r="I1" s="67" t="s">
        <v>243</v>
      </c>
      <c r="J1" s="67" t="s">
        <v>244</v>
      </c>
      <c r="K1" s="67" t="s">
        <v>245</v>
      </c>
    </row>
    <row r="2" spans="1:11" x14ac:dyDescent="0.3">
      <c r="A2" s="67" t="s">
        <v>433</v>
      </c>
    </row>
    <row r="3" spans="1:11" x14ac:dyDescent="0.3">
      <c r="A3" s="8" t="s">
        <v>434</v>
      </c>
      <c r="B3" s="8">
        <v>182.3</v>
      </c>
      <c r="C3" s="8">
        <v>182.6</v>
      </c>
      <c r="D3" s="8">
        <v>182.6</v>
      </c>
      <c r="E3" s="8">
        <v>288.7</v>
      </c>
      <c r="F3" s="8">
        <v>288.7</v>
      </c>
      <c r="G3" s="8">
        <v>433</v>
      </c>
      <c r="H3" s="8">
        <v>649.6</v>
      </c>
      <c r="I3" s="8">
        <v>649.6</v>
      </c>
      <c r="J3" s="8">
        <v>676.3</v>
      </c>
      <c r="K3" s="8">
        <v>676.4</v>
      </c>
    </row>
    <row r="4" spans="1:11" x14ac:dyDescent="0.3">
      <c r="A4" s="8" t="s">
        <v>173</v>
      </c>
      <c r="B4" s="8">
        <v>1511.3</v>
      </c>
      <c r="C4" s="8">
        <v>1586.8</v>
      </c>
      <c r="D4" s="8">
        <v>1815.9</v>
      </c>
      <c r="E4" s="8">
        <v>3039.7</v>
      </c>
      <c r="F4" s="8">
        <v>3235.3</v>
      </c>
      <c r="G4" s="8">
        <v>3646.9</v>
      </c>
      <c r="H4" s="8">
        <v>4452.8</v>
      </c>
      <c r="I4" s="8">
        <v>6286.9</v>
      </c>
      <c r="J4" s="8">
        <v>15933.5</v>
      </c>
      <c r="K4" s="8">
        <v>18902.3</v>
      </c>
    </row>
    <row r="5" spans="1:11" x14ac:dyDescent="0.3">
      <c r="A5" s="8" t="s">
        <v>174</v>
      </c>
      <c r="B5" s="8">
        <v>2215.4</v>
      </c>
      <c r="C5" s="8">
        <v>2653.7</v>
      </c>
      <c r="D5" s="8">
        <v>2807.9</v>
      </c>
      <c r="E5" s="8">
        <v>3417.2</v>
      </c>
      <c r="F5" s="8">
        <v>3216.1</v>
      </c>
      <c r="G5" s="8">
        <v>3386.8</v>
      </c>
      <c r="H5" s="8">
        <v>3883.8</v>
      </c>
      <c r="I5" s="8">
        <v>5431.3</v>
      </c>
      <c r="J5" s="8">
        <v>2826.3</v>
      </c>
      <c r="K5" s="8">
        <v>2508.1999999999998</v>
      </c>
    </row>
    <row r="6" spans="1:11" x14ac:dyDescent="0.3">
      <c r="A6" s="8" t="s">
        <v>180</v>
      </c>
      <c r="B6" s="8">
        <v>915.4</v>
      </c>
      <c r="C6" s="8">
        <v>852.5</v>
      </c>
      <c r="D6" s="8">
        <v>1191.5999999999999</v>
      </c>
      <c r="E6" s="8">
        <v>1630</v>
      </c>
      <c r="F6" s="8">
        <v>1707.2</v>
      </c>
      <c r="G6" s="8">
        <v>2112.8000000000002</v>
      </c>
      <c r="H6" s="8">
        <v>2632.1</v>
      </c>
      <c r="I6" s="8">
        <v>2819.4</v>
      </c>
      <c r="J6" s="8">
        <v>3688.2</v>
      </c>
      <c r="K6" s="8">
        <v>3453.8</v>
      </c>
    </row>
    <row r="7" spans="1:11" x14ac:dyDescent="0.3">
      <c r="A7" s="67" t="s">
        <v>185</v>
      </c>
      <c r="B7" s="67">
        <v>4824.3999999999996</v>
      </c>
      <c r="C7" s="67">
        <v>5275.6</v>
      </c>
      <c r="D7" s="67">
        <v>5998</v>
      </c>
      <c r="E7" s="67">
        <v>8375.6</v>
      </c>
      <c r="F7" s="67">
        <v>8447.4</v>
      </c>
      <c r="G7" s="67">
        <v>9579.5</v>
      </c>
      <c r="H7" s="67">
        <v>11618.2</v>
      </c>
      <c r="I7" s="67">
        <v>15187.2</v>
      </c>
      <c r="J7" s="67">
        <v>23124.3</v>
      </c>
      <c r="K7" s="67">
        <v>25540.7</v>
      </c>
    </row>
    <row r="9" spans="1:11" x14ac:dyDescent="0.3">
      <c r="A9" s="8" t="s">
        <v>435</v>
      </c>
      <c r="B9" s="8">
        <v>3715.5</v>
      </c>
      <c r="C9" s="8">
        <v>3980.5</v>
      </c>
      <c r="D9" s="8">
        <v>4387</v>
      </c>
      <c r="E9" s="8">
        <v>6479</v>
      </c>
      <c r="F9" s="8">
        <v>6408.6</v>
      </c>
      <c r="G9" s="8">
        <v>6310.8</v>
      </c>
      <c r="H9" s="8">
        <v>6932.2</v>
      </c>
      <c r="I9" s="8">
        <v>8409.2000000000007</v>
      </c>
      <c r="J9" s="8">
        <v>13401.7</v>
      </c>
      <c r="K9" s="8">
        <v>16758.900000000001</v>
      </c>
    </row>
    <row r="10" spans="1:11" x14ac:dyDescent="0.3">
      <c r="A10" s="8" t="s">
        <v>436</v>
      </c>
      <c r="B10" s="8">
        <v>95.6</v>
      </c>
      <c r="C10" s="8">
        <v>145.4</v>
      </c>
      <c r="D10" s="8">
        <v>352.4</v>
      </c>
      <c r="E10" s="8">
        <v>63.8</v>
      </c>
      <c r="F10" s="8">
        <v>66.8</v>
      </c>
      <c r="G10" s="8">
        <v>496.6</v>
      </c>
      <c r="H10" s="8">
        <v>606.6</v>
      </c>
      <c r="I10" s="8">
        <v>1922.2</v>
      </c>
      <c r="J10" s="8">
        <v>1166.7</v>
      </c>
      <c r="K10" s="8">
        <v>270.8</v>
      </c>
    </row>
    <row r="11" spans="1:11" x14ac:dyDescent="0.3">
      <c r="A11" s="8" t="s">
        <v>199</v>
      </c>
      <c r="B11" s="8">
        <v>6.9</v>
      </c>
      <c r="C11" s="8">
        <v>8.1999999999999993</v>
      </c>
      <c r="D11" s="8">
        <v>11.2</v>
      </c>
      <c r="E11" s="8">
        <v>0</v>
      </c>
      <c r="F11" s="8">
        <v>0</v>
      </c>
      <c r="G11" s="8">
        <v>0</v>
      </c>
      <c r="H11" s="8">
        <v>0</v>
      </c>
      <c r="I11" s="8">
        <v>21.1</v>
      </c>
      <c r="J11" s="8">
        <v>59.5</v>
      </c>
      <c r="K11" s="8">
        <v>174.3</v>
      </c>
    </row>
    <row r="12" spans="1:11" x14ac:dyDescent="0.3">
      <c r="A12" s="8" t="s">
        <v>200</v>
      </c>
      <c r="B12" s="8">
        <v>319.5</v>
      </c>
      <c r="C12" s="8">
        <v>457.8</v>
      </c>
      <c r="D12" s="8">
        <v>447.5</v>
      </c>
      <c r="E12" s="8">
        <v>607.6</v>
      </c>
      <c r="F12" s="8">
        <v>611.29999999999995</v>
      </c>
      <c r="G12" s="8">
        <v>766.1</v>
      </c>
      <c r="H12" s="8">
        <v>1500.9</v>
      </c>
      <c r="I12" s="8">
        <v>1864.9</v>
      </c>
      <c r="J12" s="8">
        <v>2409.1999999999998</v>
      </c>
      <c r="K12" s="8">
        <v>2137.4</v>
      </c>
    </row>
    <row r="13" spans="1:11" x14ac:dyDescent="0.3">
      <c r="A13" s="67" t="s">
        <v>437</v>
      </c>
      <c r="B13" s="67">
        <v>4137.3999999999996</v>
      </c>
      <c r="C13" s="67">
        <v>4592</v>
      </c>
      <c r="D13" s="67">
        <v>5198.1000000000004</v>
      </c>
      <c r="E13" s="67">
        <v>7150.4</v>
      </c>
      <c r="F13" s="67">
        <v>7086.7</v>
      </c>
      <c r="G13" s="67">
        <v>7573.5</v>
      </c>
      <c r="H13" s="67">
        <v>9039.7000000000007</v>
      </c>
      <c r="I13" s="67">
        <v>12217.4</v>
      </c>
      <c r="J13" s="67">
        <v>17037.2</v>
      </c>
      <c r="K13" s="67">
        <v>19341.400000000001</v>
      </c>
    </row>
    <row r="15" spans="1:11" x14ac:dyDescent="0.3">
      <c r="A15" s="8" t="s">
        <v>401</v>
      </c>
      <c r="B15" s="8">
        <v>131.4</v>
      </c>
      <c r="C15" s="8">
        <v>150.30000000000001</v>
      </c>
      <c r="D15" s="8">
        <v>128</v>
      </c>
      <c r="E15" s="8">
        <v>172.6</v>
      </c>
      <c r="F15" s="8">
        <v>241.8</v>
      </c>
      <c r="G15" s="8">
        <v>221.3</v>
      </c>
      <c r="H15" s="8">
        <v>299.3</v>
      </c>
      <c r="I15" s="8">
        <v>359.4</v>
      </c>
      <c r="J15" s="8">
        <v>845.8</v>
      </c>
      <c r="K15" s="8">
        <v>1249</v>
      </c>
    </row>
    <row r="16" spans="1:11" x14ac:dyDescent="0.3">
      <c r="A16" s="8" t="s">
        <v>402</v>
      </c>
      <c r="B16" s="8">
        <v>489.9</v>
      </c>
      <c r="C16" s="8">
        <v>438.9</v>
      </c>
      <c r="D16" s="8">
        <v>578.4</v>
      </c>
      <c r="E16" s="8">
        <v>881.5</v>
      </c>
      <c r="F16" s="8">
        <v>928.8</v>
      </c>
      <c r="G16" s="8">
        <v>1448.1</v>
      </c>
      <c r="H16" s="8">
        <v>1993.9</v>
      </c>
      <c r="I16" s="8">
        <v>2150.5</v>
      </c>
      <c r="J16" s="8">
        <v>2791.2</v>
      </c>
      <c r="K16" s="8">
        <v>2951.8</v>
      </c>
    </row>
    <row r="17" spans="1:11" x14ac:dyDescent="0.3">
      <c r="A17" s="8" t="s">
        <v>438</v>
      </c>
      <c r="B17" s="8">
        <v>65.7</v>
      </c>
      <c r="C17" s="8">
        <v>94.5</v>
      </c>
      <c r="D17" s="8">
        <v>93.5</v>
      </c>
      <c r="E17" s="8">
        <v>171.1</v>
      </c>
      <c r="F17" s="8">
        <v>190.1</v>
      </c>
      <c r="G17" s="8">
        <v>336.6</v>
      </c>
      <c r="H17" s="8">
        <v>285.3</v>
      </c>
      <c r="I17" s="8">
        <v>459.9</v>
      </c>
      <c r="J17" s="8">
        <v>2450.1</v>
      </c>
      <c r="K17" s="8">
        <v>1998.5</v>
      </c>
    </row>
    <row r="18" spans="1:11" x14ac:dyDescent="0.3">
      <c r="A18" s="67" t="s">
        <v>439</v>
      </c>
      <c r="B18" s="67">
        <v>687</v>
      </c>
      <c r="C18" s="67">
        <v>683.6</v>
      </c>
      <c r="D18" s="67">
        <v>799.9</v>
      </c>
      <c r="E18" s="67">
        <v>1225.2</v>
      </c>
      <c r="F18" s="67">
        <v>1360.7</v>
      </c>
      <c r="G18" s="67">
        <v>2006</v>
      </c>
      <c r="H18" s="67">
        <v>2578.5</v>
      </c>
      <c r="I18" s="67">
        <v>2969.8</v>
      </c>
      <c r="J18" s="67">
        <v>6087.1</v>
      </c>
      <c r="K18" s="67">
        <v>6199.3</v>
      </c>
    </row>
    <row r="20" spans="1:11" x14ac:dyDescent="0.3">
      <c r="A20" s="67" t="s">
        <v>208</v>
      </c>
      <c r="B20" s="67">
        <v>4824.3999999999996</v>
      </c>
      <c r="C20" s="67">
        <v>5275.6</v>
      </c>
      <c r="D20" s="67">
        <v>5998</v>
      </c>
      <c r="E20" s="67">
        <v>8375.6</v>
      </c>
      <c r="F20" s="67">
        <v>8447.4</v>
      </c>
      <c r="G20" s="67">
        <v>9579.5</v>
      </c>
      <c r="H20" s="67">
        <v>11618.2</v>
      </c>
      <c r="I20" s="67">
        <v>15187.2</v>
      </c>
      <c r="J20" s="67">
        <v>23124.3</v>
      </c>
      <c r="K20" s="67">
        <v>25540.7</v>
      </c>
    </row>
    <row r="22" spans="1:11" x14ac:dyDescent="0.3">
      <c r="A22" s="67" t="s">
        <v>440</v>
      </c>
      <c r="B22" s="72" t="s">
        <v>441</v>
      </c>
      <c r="C22" s="72" t="s">
        <v>441</v>
      </c>
      <c r="D22" s="72" t="s">
        <v>441</v>
      </c>
      <c r="E22" s="72" t="s">
        <v>441</v>
      </c>
      <c r="F22" s="72" t="s">
        <v>441</v>
      </c>
      <c r="G22" s="72" t="s">
        <v>441</v>
      </c>
      <c r="H22" s="72" t="s">
        <v>441</v>
      </c>
      <c r="I22" s="72" t="s">
        <v>441</v>
      </c>
      <c r="J22" s="72" t="s">
        <v>441</v>
      </c>
      <c r="K22" s="72" t="s">
        <v>441</v>
      </c>
    </row>
  </sheetData>
  <pageMargins left="0.7" right="0.7" top="0.75" bottom="0.75" header="0.511811023622047" footer="0.511811023622047"/>
  <pageSetup paperSize="9" orientation="portrait" horizontalDpi="300" verticalDpi="30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M39"/>
  <sheetViews>
    <sheetView tabSelected="1" zoomScaleNormal="100" workbookViewId="0">
      <selection activeCell="H22" sqref="H22"/>
    </sheetView>
  </sheetViews>
  <sheetFormatPr defaultColWidth="8.6640625" defaultRowHeight="14.4" x14ac:dyDescent="0.3"/>
  <cols>
    <col min="1" max="1" width="24.44140625" style="8" customWidth="1"/>
    <col min="2" max="13" width="11" style="8" customWidth="1"/>
  </cols>
  <sheetData>
    <row r="1" spans="1:13" ht="15" customHeight="1" x14ac:dyDescent="0.3">
      <c r="A1" s="8" t="s">
        <v>47</v>
      </c>
      <c r="B1" s="43">
        <v>41974</v>
      </c>
      <c r="C1" s="43">
        <v>42339</v>
      </c>
      <c r="D1" s="43">
        <v>42705</v>
      </c>
      <c r="E1" s="43">
        <v>43070</v>
      </c>
      <c r="F1" s="43">
        <v>43435</v>
      </c>
      <c r="G1" s="43">
        <v>43800</v>
      </c>
      <c r="H1" s="43">
        <v>44166</v>
      </c>
      <c r="I1" s="43">
        <v>44531</v>
      </c>
      <c r="J1" s="43">
        <v>44896</v>
      </c>
      <c r="K1" s="43">
        <v>45261</v>
      </c>
      <c r="L1" s="43">
        <v>45627</v>
      </c>
      <c r="M1" s="43">
        <v>45992</v>
      </c>
    </row>
    <row r="2" spans="1:13" x14ac:dyDescent="0.3">
      <c r="A2" s="44" t="s">
        <v>172</v>
      </c>
      <c r="B2" s="37">
        <f>(BalanceSheet!B2/BalanceSheet!$B$39)</f>
        <v>4.0704738760631833E-2</v>
      </c>
      <c r="C2" s="37">
        <f>(BalanceSheet!C2/BalanceSheet!$C$39)</f>
        <v>3.0241480478447304E-2</v>
      </c>
      <c r="D2" s="37">
        <f>(BalanceSheet!D2/BalanceSheet!$D$39)</f>
        <v>3.7728026533996685E-2</v>
      </c>
      <c r="E2" s="37">
        <f>(BalanceSheet!E2/BalanceSheet!$E$39)</f>
        <v>3.4685367702805156E-2</v>
      </c>
      <c r="F2" s="37">
        <f>(BalanceSheet!F2/BalanceSheet!$F$39)</f>
        <v>3.0510170056685562E-2</v>
      </c>
      <c r="G2" s="37">
        <f>(BalanceSheet!G2/BalanceSheet!$G$39)</f>
        <v>3.4503342884431708E-2</v>
      </c>
      <c r="H2" s="37">
        <f>(BalanceSheet!H2/BalanceSheet!$H$39)</f>
        <v>3.4213330176393983E-2</v>
      </c>
      <c r="I2" s="37">
        <f>(BalanceSheet!I2/BalanceSheet!$I$39)</f>
        <v>4.5203048334899257E-2</v>
      </c>
      <c r="J2" s="37">
        <f>(BalanceSheet!J2/BalanceSheet!$J$39)</f>
        <v>5.5947667412635564E-2</v>
      </c>
      <c r="K2" s="37">
        <f>(BalanceSheet!K2/BalanceSheet!$K$39)</f>
        <v>4.2799762955159019E-2</v>
      </c>
      <c r="L2" s="37">
        <f>(BalanceSheet!L2/BalanceSheet!$L$39)</f>
        <v>2.9233696592285072E-2</v>
      </c>
      <c r="M2" s="37">
        <f>(BalanceSheet!M2/BalanceSheet!$M$39)</f>
        <v>2.6467248737324301E-2</v>
      </c>
    </row>
    <row r="3" spans="1:13" ht="15" customHeight="1" x14ac:dyDescent="0.3">
      <c r="A3" s="46" t="s">
        <v>173</v>
      </c>
      <c r="B3" s="37">
        <f>(BalanceSheet!B3/BalanceSheet!$B$39)</f>
        <v>2.7339003645200487E-3</v>
      </c>
      <c r="C3" s="37">
        <f>(BalanceSheet!C3/BalanceSheet!$C$39)</f>
        <v>2.0537124802527645E-2</v>
      </c>
      <c r="D3" s="37">
        <f>(BalanceSheet!D3/BalanceSheet!$D$39)</f>
        <v>0.3132255389718076</v>
      </c>
      <c r="E3" s="37">
        <f>(BalanceSheet!E3/BalanceSheet!$E$39)</f>
        <v>0.30079605761940864</v>
      </c>
      <c r="F3" s="37">
        <f>(BalanceSheet!F3/BalanceSheet!$F$39)</f>
        <v>0.30276758919639879</v>
      </c>
      <c r="G3" s="37">
        <f>(BalanceSheet!G3/BalanceSheet!$G$39)</f>
        <v>0.3629417382999045</v>
      </c>
      <c r="H3" s="37">
        <f>(BalanceSheet!H3/BalanceSheet!$H$39)</f>
        <v>0.38297620456966969</v>
      </c>
      <c r="I3" s="37">
        <f>(BalanceSheet!I3/BalanceSheet!$I$39)</f>
        <v>0.3807286773149598</v>
      </c>
      <c r="J3" s="37">
        <f>(BalanceSheet!J3/BalanceSheet!$J$39)</f>
        <v>0.38328455844379411</v>
      </c>
      <c r="K3" s="37">
        <f>(BalanceSheet!K3/BalanceSheet!$K$39)</f>
        <v>0.41397247646013036</v>
      </c>
      <c r="L3" s="37">
        <f>(BalanceSheet!L3/BalanceSheet!$L$39)</f>
        <v>0.68906763535720461</v>
      </c>
      <c r="M3" s="37">
        <f>(BalanceSheet!M3/BalanceSheet!$M$39)</f>
        <v>0.74006499353979871</v>
      </c>
    </row>
    <row r="4" spans="1:13" x14ac:dyDescent="0.3">
      <c r="A4" s="49" t="s">
        <v>174</v>
      </c>
      <c r="B4" s="37">
        <f>(BalanceSheet!B4/BalanceSheet!$B$39)</f>
        <v>0.79434993924665853</v>
      </c>
      <c r="C4" s="37">
        <f>(BalanceSheet!C4/BalanceSheet!$C$39)</f>
        <v>0.57030015797788314</v>
      </c>
      <c r="D4" s="37">
        <f>(BalanceSheet!D4/BalanceSheet!$D$39)</f>
        <v>0.45916252072968489</v>
      </c>
      <c r="E4" s="37">
        <f>(BalanceSheet!E4/BalanceSheet!$E$39)</f>
        <v>0.50303260045489007</v>
      </c>
      <c r="F4" s="37">
        <f>(BalanceSheet!F4/BalanceSheet!$F$39)</f>
        <v>0.46815605201733912</v>
      </c>
      <c r="G4" s="37">
        <f>(BalanceSheet!G4/BalanceSheet!$G$39)</f>
        <v>0.40795128939828079</v>
      </c>
      <c r="H4" s="37">
        <f>(BalanceSheet!H4/BalanceSheet!$H$39)</f>
        <v>0.38072688528471649</v>
      </c>
      <c r="I4" s="37">
        <f>(BalanceSheet!I4/BalanceSheet!$I$39)</f>
        <v>0.35358596930786096</v>
      </c>
      <c r="J4" s="37">
        <f>(BalanceSheet!J4/BalanceSheet!$J$39)</f>
        <v>0.33430883112411774</v>
      </c>
      <c r="K4" s="37">
        <f>(BalanceSheet!K4/BalanceSheet!$K$39)</f>
        <v>0.35760848093764402</v>
      </c>
      <c r="L4" s="37">
        <f>(BalanceSheet!L4/BalanceSheet!$L$39)</f>
        <v>0.12221069019200831</v>
      </c>
      <c r="M4" s="37">
        <f>(BalanceSheet!M4/BalanceSheet!$M$39)</f>
        <v>9.8195058924865908E-2</v>
      </c>
    </row>
    <row r="5" spans="1:13" x14ac:dyDescent="0.3">
      <c r="A5" s="51" t="s">
        <v>175</v>
      </c>
      <c r="B5" s="37">
        <f>(BalanceSheet!B5/BalanceSheet!$B$39)</f>
        <v>0.49301336573511545</v>
      </c>
      <c r="C5" s="37">
        <f>(BalanceSheet!C5/BalanceSheet!$C$39)</f>
        <v>0.35657865041751297</v>
      </c>
      <c r="D5" s="37">
        <f>(BalanceSheet!D5/BalanceSheet!$D$39)</f>
        <v>0.25248756218905472</v>
      </c>
      <c r="E5" s="37">
        <f>(BalanceSheet!E5/BalanceSheet!$E$39)</f>
        <v>0.32050796057619407</v>
      </c>
      <c r="F5" s="37">
        <f>(BalanceSheet!F5/BalanceSheet!$F$39)</f>
        <v>0.33011003667889294</v>
      </c>
      <c r="G5" s="37">
        <f>(BalanceSheet!G5/BalanceSheet!$G$39)</f>
        <v>0.28116045845272208</v>
      </c>
      <c r="H5" s="37">
        <f>(BalanceSheet!H5/BalanceSheet!$H$39)</f>
        <v>0.23440274653723214</v>
      </c>
      <c r="I5" s="37">
        <f>(BalanceSheet!I5/BalanceSheet!$I$39)</f>
        <v>0.18926819083411631</v>
      </c>
      <c r="J5" s="37">
        <f>(BalanceSheet!J5/BalanceSheet!$J$39)</f>
        <v>0.14864864864864866</v>
      </c>
      <c r="K5" s="37">
        <f>(BalanceSheet!K5/BalanceSheet!$K$39)</f>
        <v>0.20998222163692631</v>
      </c>
      <c r="L5" s="37">
        <f>(BalanceSheet!L5/BalanceSheet!$L$39)</f>
        <v>3.636914028714755E-2</v>
      </c>
      <c r="M5" s="37">
        <f>(BalanceSheet!M5/BalanceSheet!$M$39)</f>
        <v>2.1142476802004619E-2</v>
      </c>
    </row>
    <row r="6" spans="1:13" x14ac:dyDescent="0.3">
      <c r="A6" s="51" t="s">
        <v>176</v>
      </c>
      <c r="B6" s="37">
        <f>(BalanceSheet!B6/BalanceSheet!$B$39)</f>
        <v>0.15461725394896719</v>
      </c>
      <c r="C6" s="37">
        <f>(BalanceSheet!C6/BalanceSheet!$C$39)</f>
        <v>5.6872037914691941E-2</v>
      </c>
      <c r="D6" s="37">
        <f>(BalanceSheet!D6/BalanceSheet!$D$39)</f>
        <v>8.5199004975124379E-2</v>
      </c>
      <c r="E6" s="37">
        <f>(BalanceSheet!E6/BalanceSheet!$E$39)</f>
        <v>6.6906747536012126E-2</v>
      </c>
      <c r="F6" s="37">
        <f>(BalanceSheet!F6/BalanceSheet!$F$39)</f>
        <v>6.3021007002334109E-2</v>
      </c>
      <c r="G6" s="37">
        <f>(BalanceSheet!G6/BalanceSheet!$G$39)</f>
        <v>5.5754536771728751E-2</v>
      </c>
      <c r="H6" s="37">
        <f>(BalanceSheet!H6/BalanceSheet!$H$39)</f>
        <v>8.4527051024032199E-2</v>
      </c>
      <c r="I6" s="37">
        <f>(BalanceSheet!I6/BalanceSheet!$I$39)</f>
        <v>0.15962000208790061</v>
      </c>
      <c r="J6" s="37">
        <f>(BalanceSheet!J6/BalanceSheet!$J$39)</f>
        <v>0.16939232225856429</v>
      </c>
      <c r="K6" s="37">
        <f>(BalanceSheet!K6/BalanceSheet!$K$39)</f>
        <v>0.13202080726937512</v>
      </c>
      <c r="L6" s="37">
        <f>(BalanceSheet!L6/BalanceSheet!$L$39)</f>
        <v>6.5905552672547996E-2</v>
      </c>
      <c r="M6" s="37">
        <f>(BalanceSheet!M6/BalanceSheet!$M$39)</f>
        <v>5.810265847069418E-2</v>
      </c>
    </row>
    <row r="7" spans="1:13" x14ac:dyDescent="0.3">
      <c r="A7" s="51" t="s">
        <v>177</v>
      </c>
      <c r="B7" s="37">
        <f>(BalanceSheet!B7/BalanceSheet!$B$39)</f>
        <v>0</v>
      </c>
      <c r="C7" s="37">
        <f>(BalanceSheet!C7/BalanceSheet!$C$39)</f>
        <v>0</v>
      </c>
      <c r="D7" s="37">
        <f>(BalanceSheet!D7/BalanceSheet!$D$39)</f>
        <v>0</v>
      </c>
      <c r="E7" s="37">
        <f>(BalanceSheet!E7/BalanceSheet!$E$39)</f>
        <v>0</v>
      </c>
      <c r="F7" s="37">
        <f>(BalanceSheet!F7/BalanceSheet!$F$39)</f>
        <v>0</v>
      </c>
      <c r="G7" s="37">
        <f>(BalanceSheet!G7/BalanceSheet!$G$39)</f>
        <v>0</v>
      </c>
      <c r="H7" s="37">
        <f>(BalanceSheet!H7/BalanceSheet!$H$39)</f>
        <v>0</v>
      </c>
      <c r="I7" s="37">
        <f>(BalanceSheet!I7/BalanceSheet!$I$39)</f>
        <v>4.6977763858440337E-3</v>
      </c>
      <c r="J7" s="37">
        <f>(BalanceSheet!J7/BalanceSheet!$J$39)</f>
        <v>1.6267860216904802E-2</v>
      </c>
      <c r="K7" s="37">
        <f>(BalanceSheet!K7/BalanceSheet!$K$39)</f>
        <v>1.5605452031342596E-2</v>
      </c>
      <c r="L7" s="37">
        <f>(BalanceSheet!L7/BalanceSheet!$L$39)</f>
        <v>1.9979242345614944E-2</v>
      </c>
      <c r="M7" s="37">
        <f>(BalanceSheet!M7/BalanceSheet!$M$39)</f>
        <v>1.8949923652167106E-2</v>
      </c>
    </row>
    <row r="8" spans="1:13" x14ac:dyDescent="0.3">
      <c r="A8" s="51" t="s">
        <v>178</v>
      </c>
      <c r="B8" s="37">
        <f>(BalanceSheet!B8/BalanceSheet!$B$39)</f>
        <v>6.0753341433778855E-2</v>
      </c>
      <c r="C8" s="37">
        <f>(BalanceSheet!C8/BalanceSheet!$C$39)</f>
        <v>0.1015572105619499</v>
      </c>
      <c r="D8" s="37">
        <f>(BalanceSheet!D8/BalanceSheet!$D$39)</f>
        <v>0</v>
      </c>
      <c r="E8" s="37">
        <f>(BalanceSheet!E8/BalanceSheet!$E$39)</f>
        <v>0</v>
      </c>
      <c r="F8" s="37">
        <f>(BalanceSheet!F8/BalanceSheet!$F$39)</f>
        <v>0</v>
      </c>
      <c r="G8" s="37">
        <f>(BalanceSheet!G8/BalanceSheet!$G$39)</f>
        <v>0</v>
      </c>
      <c r="H8" s="37">
        <f>(BalanceSheet!H8/BalanceSheet!$H$39)</f>
        <v>0</v>
      </c>
      <c r="I8" s="37">
        <f>(BalanceSheet!I8/BalanceSheet!$I$39)</f>
        <v>0</v>
      </c>
      <c r="J8" s="37">
        <f>(BalanceSheet!J8/BalanceSheet!$J$39)</f>
        <v>0</v>
      </c>
      <c r="K8" s="37">
        <f>(BalanceSheet!K8/BalanceSheet!$K$39)</f>
        <v>0</v>
      </c>
      <c r="L8" s="37">
        <f>(BalanceSheet!L8/BalanceSheet!$L$39)</f>
        <v>0</v>
      </c>
      <c r="M8" s="37">
        <f>(BalanceSheet!M8/BalanceSheet!$M$39)</f>
        <v>0</v>
      </c>
    </row>
    <row r="9" spans="1:13" ht="15" customHeight="1" x14ac:dyDescent="0.3">
      <c r="A9" s="51" t="s">
        <v>179</v>
      </c>
      <c r="B9" s="37">
        <f>(BalanceSheet!B9/BalanceSheet!$B$39)</f>
        <v>8.6269744835965972E-2</v>
      </c>
      <c r="C9" s="37">
        <f>(BalanceSheet!C9/BalanceSheet!$C$39)</f>
        <v>5.5292259083728278E-2</v>
      </c>
      <c r="D9" s="37">
        <f>(BalanceSheet!D9/BalanceSheet!$D$39)</f>
        <v>0.12147595356550581</v>
      </c>
      <c r="E9" s="37">
        <f>(BalanceSheet!E9/BalanceSheet!$E$39)</f>
        <v>0.11542835481425322</v>
      </c>
      <c r="F9" s="37">
        <f>(BalanceSheet!F9/BalanceSheet!$F$39)</f>
        <v>7.5025008336112031E-2</v>
      </c>
      <c r="G9" s="37">
        <f>(BalanceSheet!G9/BalanceSheet!$G$39)</f>
        <v>7.1036294173829992E-2</v>
      </c>
      <c r="H9" s="37">
        <f>(BalanceSheet!H9/BalanceSheet!$H$39)</f>
        <v>6.1915472948975966E-2</v>
      </c>
      <c r="I9" s="37">
        <f>(BalanceSheet!I9/BalanceSheet!$I$39)</f>
        <v>0</v>
      </c>
      <c r="J9" s="37">
        <f>(BalanceSheet!J9/BalanceSheet!$J$39)</f>
        <v>0</v>
      </c>
      <c r="K9" s="37">
        <f>(BalanceSheet!K9/BalanceSheet!$K$39)</f>
        <v>0</v>
      </c>
      <c r="L9" s="37">
        <f>(BalanceSheet!L9/BalanceSheet!$L$39)</f>
        <v>0</v>
      </c>
      <c r="M9" s="37">
        <f>(BalanceSheet!M9/BalanceSheet!$M$39)</f>
        <v>0</v>
      </c>
    </row>
    <row r="10" spans="1:13" x14ac:dyDescent="0.3">
      <c r="A10" s="53" t="s">
        <v>180</v>
      </c>
      <c r="B10" s="37">
        <f>(BalanceSheet!B10/BalanceSheet!$B$39)</f>
        <v>0.16190765492102066</v>
      </c>
      <c r="C10" s="37">
        <f>(BalanceSheet!C10/BalanceSheet!$C$39)</f>
        <v>0.37914691943127959</v>
      </c>
      <c r="D10" s="37">
        <f>(BalanceSheet!D10/BalanceSheet!$D$39)</f>
        <v>0.1896766169154229</v>
      </c>
      <c r="E10" s="37">
        <f>(BalanceSheet!E10/BalanceSheet!$E$39)</f>
        <v>0.16148597422289612</v>
      </c>
      <c r="F10" s="37">
        <f>(BalanceSheet!F10/BalanceSheet!$F$39)</f>
        <v>0.19873291097032345</v>
      </c>
      <c r="G10" s="37">
        <f>(BalanceSheet!G10/BalanceSheet!$G$39)</f>
        <v>0.19460362941738299</v>
      </c>
      <c r="H10" s="37">
        <f>(BalanceSheet!H10/BalanceSheet!$H$39)</f>
        <v>0.20208357996921983</v>
      </c>
      <c r="I10" s="37">
        <f>(BalanceSheet!I10/BalanceSheet!$I$39)</f>
        <v>0.22058670007307651</v>
      </c>
      <c r="J10" s="37">
        <f>(BalanceSheet!J10/BalanceSheet!$J$39)</f>
        <v>0.22654501635393356</v>
      </c>
      <c r="K10" s="37">
        <f>(BalanceSheet!K10/BalanceSheet!$K$39)</f>
        <v>0.18561927964706657</v>
      </c>
      <c r="L10" s="37">
        <f>(BalanceSheet!L10/BalanceSheet!$L$39)</f>
        <v>0.15948797785850199</v>
      </c>
      <c r="M10" s="37">
        <f>(BalanceSheet!M10/BalanceSheet!$M$39)</f>
        <v>0.13523354606319252</v>
      </c>
    </row>
    <row r="11" spans="1:13" x14ac:dyDescent="0.3">
      <c r="A11" s="56" t="s">
        <v>181</v>
      </c>
      <c r="B11" s="37">
        <f>(BalanceSheet!B11/BalanceSheet!$B$39)</f>
        <v>0</v>
      </c>
      <c r="C11" s="37">
        <f>(BalanceSheet!C11/BalanceSheet!$C$39)</f>
        <v>0</v>
      </c>
      <c r="D11" s="37">
        <f>(BalanceSheet!D11/BalanceSheet!$D$39)</f>
        <v>-2.6948590381426201E-3</v>
      </c>
      <c r="E11" s="37">
        <f>(BalanceSheet!E11/BalanceSheet!$E$39)</f>
        <v>-1.8953752843062926E-4</v>
      </c>
      <c r="F11" s="37">
        <f>(BalanceSheet!F11/BalanceSheet!$F$39)</f>
        <v>1.333777925975325E-3</v>
      </c>
      <c r="G11" s="37">
        <f>(BalanceSheet!G11/BalanceSheet!$G$39)</f>
        <v>3.7010506208213943E-3</v>
      </c>
      <c r="H11" s="37">
        <f>(BalanceSheet!H11/BalanceSheet!$H$39)</f>
        <v>7.6950396590505501E-3</v>
      </c>
      <c r="I11" s="37">
        <f>(BalanceSheet!I11/BalanceSheet!$I$39)</f>
        <v>1.2214218603194488E-2</v>
      </c>
      <c r="J11" s="37">
        <f>(BalanceSheet!J11/BalanceSheet!$J$39)</f>
        <v>9.7262867963504914E-3</v>
      </c>
      <c r="K11" s="37">
        <f>(BalanceSheet!K11/BalanceSheet!$K$39)</f>
        <v>9.7451767959438988E-3</v>
      </c>
      <c r="L11" s="37">
        <f>(BalanceSheet!L11/BalanceSheet!$L$39)</f>
        <v>5.621864729285591E-3</v>
      </c>
      <c r="M11" s="37">
        <f>(BalanceSheet!M11/BalanceSheet!$M$39)</f>
        <v>6.3427430406013856E-3</v>
      </c>
    </row>
    <row r="12" spans="1:13" x14ac:dyDescent="0.3">
      <c r="A12" s="56" t="s">
        <v>182</v>
      </c>
      <c r="B12" s="37">
        <f>(BalanceSheet!B12/BalanceSheet!$B$39)</f>
        <v>5.4981773997569865E-2</v>
      </c>
      <c r="C12" s="37">
        <f>(BalanceSheet!C12/BalanceSheet!$C$39)</f>
        <v>4.1751297675468292E-2</v>
      </c>
      <c r="D12" s="37">
        <f>(BalanceSheet!D12/BalanceSheet!$D$39)</f>
        <v>5.700663349917081E-2</v>
      </c>
      <c r="E12" s="37">
        <f>(BalanceSheet!E12/BalanceSheet!$E$39)</f>
        <v>3.6201667930250189E-2</v>
      </c>
      <c r="F12" s="37">
        <f>(BalanceSheet!F12/BalanceSheet!$F$39)</f>
        <v>5.2850950316772255E-2</v>
      </c>
      <c r="G12" s="37">
        <f>(BalanceSheet!G12/BalanceSheet!$G$39)</f>
        <v>5.7067812798471826E-2</v>
      </c>
      <c r="H12" s="37">
        <f>(BalanceSheet!H12/BalanceSheet!$H$39)</f>
        <v>6.0494850242689711E-2</v>
      </c>
      <c r="I12" s="37">
        <f>(BalanceSheet!I12/BalanceSheet!$I$39)</f>
        <v>7.4329261927132267E-2</v>
      </c>
      <c r="J12" s="37">
        <f>(BalanceSheet!J12/BalanceSheet!$J$39)</f>
        <v>7.0924427612325702E-2</v>
      </c>
      <c r="K12" s="37">
        <f>(BalanceSheet!K12/BalanceSheet!$K$39)</f>
        <v>4.991110818463159E-2</v>
      </c>
      <c r="L12" s="37">
        <f>(BalanceSheet!L12/BalanceSheet!$L$39)</f>
        <v>6.7462376751427092E-2</v>
      </c>
      <c r="M12" s="37">
        <f>(BalanceSheet!M12/BalanceSheet!$M$39)</f>
        <v>5.485298148075643E-2</v>
      </c>
    </row>
    <row r="13" spans="1:13" x14ac:dyDescent="0.3">
      <c r="A13" s="56" t="s">
        <v>183</v>
      </c>
      <c r="B13" s="37">
        <f>(BalanceSheet!B13/BalanceSheet!$B$39)</f>
        <v>5.4678007290400975E-3</v>
      </c>
      <c r="C13" s="37">
        <f>(BalanceSheet!C13/BalanceSheet!$C$39)</f>
        <v>1.3766644098397653E-2</v>
      </c>
      <c r="D13" s="37">
        <f>(BalanceSheet!D13/BalanceSheet!$D$39)</f>
        <v>1.9900497512437811E-2</v>
      </c>
      <c r="E13" s="37">
        <f>(BalanceSheet!E13/BalanceSheet!$E$39)</f>
        <v>1.3457164518574679E-2</v>
      </c>
      <c r="F13" s="37">
        <f>(BalanceSheet!F13/BalanceSheet!$F$39)</f>
        <v>1.150383461153718E-2</v>
      </c>
      <c r="G13" s="37">
        <f>(BalanceSheet!G13/BalanceSheet!$G$39)</f>
        <v>1.3490926456542502E-2</v>
      </c>
      <c r="H13" s="37">
        <f>(BalanceSheet!H13/BalanceSheet!$H$39)</f>
        <v>2.048064401562685E-2</v>
      </c>
      <c r="I13" s="37">
        <f>(BalanceSheet!I13/BalanceSheet!$I$39)</f>
        <v>8.2472074329261926E-3</v>
      </c>
      <c r="J13" s="37">
        <f>(BalanceSheet!J13/BalanceSheet!$J$39)</f>
        <v>1.7472886899638492E-2</v>
      </c>
      <c r="K13" s="37">
        <f>(BalanceSheet!K13/BalanceSheet!$K$39)</f>
        <v>1.1852242049120958E-2</v>
      </c>
      <c r="L13" s="37">
        <f>(BalanceSheet!L13/BalanceSheet!$L$39)</f>
        <v>9.4706798131811102E-3</v>
      </c>
      <c r="M13" s="37">
        <f>(BalanceSheet!M13/BalanceSheet!$M$39)</f>
        <v>6.2252848361458047E-3</v>
      </c>
    </row>
    <row r="14" spans="1:13" ht="15" customHeight="1" x14ac:dyDescent="0.3">
      <c r="A14" s="56" t="s">
        <v>184</v>
      </c>
      <c r="B14" s="37">
        <f>(BalanceSheet!B14/BalanceSheet!$B$39)</f>
        <v>0.10176184690157959</v>
      </c>
      <c r="C14" s="37">
        <f>(BalanceSheet!C14/BalanceSheet!$C$39)</f>
        <v>0.32385466034755134</v>
      </c>
      <c r="D14" s="37">
        <f>(BalanceSheet!D14/BalanceSheet!$D$39)</f>
        <v>0.11567164179104478</v>
      </c>
      <c r="E14" s="37">
        <f>(BalanceSheet!E14/BalanceSheet!$E$39)</f>
        <v>0.11220621683093253</v>
      </c>
      <c r="F14" s="37">
        <f>(BalanceSheet!F14/BalanceSheet!$F$39)</f>
        <v>0.13321107035678559</v>
      </c>
      <c r="G14" s="37">
        <f>(BalanceSheet!G14/BalanceSheet!$G$39)</f>
        <v>0.12046322827125119</v>
      </c>
      <c r="H14" s="37">
        <f>(BalanceSheet!H14/BalanceSheet!$H$39)</f>
        <v>0.11341304605185273</v>
      </c>
      <c r="I14" s="37">
        <f>(BalanceSheet!I14/BalanceSheet!$I$39)</f>
        <v>0.12579601210982358</v>
      </c>
      <c r="J14" s="37">
        <f>(BalanceSheet!J14/BalanceSheet!$J$39)</f>
        <v>0.12833534171113789</v>
      </c>
      <c r="K14" s="37">
        <f>(BalanceSheet!K14/BalanceSheet!$K$39)</f>
        <v>0.11404490682820834</v>
      </c>
      <c r="L14" s="37">
        <f>(BalanceSheet!L14/BalanceSheet!$L$39)</f>
        <v>7.6889811451306009E-2</v>
      </c>
      <c r="M14" s="37">
        <f>(BalanceSheet!M14/BalanceSheet!$M$39)</f>
        <v>6.7773383970870363E-2</v>
      </c>
    </row>
    <row r="15" spans="1:13" ht="15" customHeight="1" x14ac:dyDescent="0.3">
      <c r="A15" s="49" t="s">
        <v>185</v>
      </c>
      <c r="B15" s="37">
        <f>(BalanceSheet!B15/BalanceSheet!$B$39)</f>
        <v>1</v>
      </c>
      <c r="C15" s="37">
        <f>(BalanceSheet!C15/BalanceSheet!$C$39)</f>
        <v>1</v>
      </c>
      <c r="D15" s="37">
        <f>(BalanceSheet!D15/BalanceSheet!$D$39)</f>
        <v>1</v>
      </c>
      <c r="E15" s="37">
        <f>(BalanceSheet!E15/BalanceSheet!$E$39)</f>
        <v>1</v>
      </c>
      <c r="F15" s="37">
        <f>(BalanceSheet!F15/BalanceSheet!$F$39)</f>
        <v>1</v>
      </c>
      <c r="G15" s="37">
        <f>(BalanceSheet!G15/BalanceSheet!$G$39)</f>
        <v>1</v>
      </c>
      <c r="H15" s="37">
        <f>(BalanceSheet!H15/BalanceSheet!$H$39)</f>
        <v>1</v>
      </c>
      <c r="I15" s="37">
        <f>(BalanceSheet!I15/BalanceSheet!$I$39)</f>
        <v>1</v>
      </c>
      <c r="J15" s="37">
        <f>(BalanceSheet!J15/BalanceSheet!$J$39)</f>
        <v>1</v>
      </c>
      <c r="K15" s="37">
        <f>(BalanceSheet!K15/BalanceSheet!$K$39)</f>
        <v>1</v>
      </c>
      <c r="L15" s="37">
        <f>(BalanceSheet!L15/BalanceSheet!$L$39)</f>
        <v>1</v>
      </c>
      <c r="M15" s="37">
        <f>(BalanceSheet!M15/BalanceSheet!$M$39)</f>
        <v>1</v>
      </c>
    </row>
    <row r="16" spans="1:13" x14ac:dyDescent="0.3">
      <c r="A16" s="53" t="s">
        <v>186</v>
      </c>
      <c r="B16" s="37">
        <f>(BalanceSheet!B16/BalanceSheet!$B$39)</f>
        <v>0.71537059538274606</v>
      </c>
      <c r="C16" s="37">
        <f>(BalanceSheet!C16/BalanceSheet!$C$39)</f>
        <v>0.78898668472128186</v>
      </c>
      <c r="D16" s="37">
        <f>(BalanceSheet!D16/BalanceSheet!$D$39)</f>
        <v>0.77031509121061359</v>
      </c>
      <c r="E16" s="37">
        <f>(BalanceSheet!E16/BalanceSheet!$E$39)</f>
        <v>0.75454890068233516</v>
      </c>
      <c r="F16" s="37">
        <f>(BalanceSheet!F16/BalanceSheet!$F$39)</f>
        <v>0.73141047015671889</v>
      </c>
      <c r="G16" s="37">
        <f>(BalanceSheet!G16/BalanceSheet!$G$39)</f>
        <v>0.7735195797516714</v>
      </c>
      <c r="H16" s="37">
        <f>(BalanceSheet!H16/BalanceSheet!$H$39)</f>
        <v>0.75873091038238427</v>
      </c>
      <c r="I16" s="37">
        <f>(BalanceSheet!I16/BalanceSheet!$I$39)</f>
        <v>0.65883703935692661</v>
      </c>
      <c r="J16" s="37">
        <f>(BalanceSheet!J16/BalanceSheet!$J$39)</f>
        <v>0.59666035462213807</v>
      </c>
      <c r="K16" s="37">
        <f>(BalanceSheet!K16/BalanceSheet!$K$39)</f>
        <v>0.55369724106143414</v>
      </c>
      <c r="L16" s="37">
        <f>(BalanceSheet!L16/BalanceSheet!$L$39)</f>
        <v>0.57957100847604226</v>
      </c>
      <c r="M16" s="37">
        <f>(BalanceSheet!M16/BalanceSheet!$M$39)</f>
        <v>0.65616068282369522</v>
      </c>
    </row>
    <row r="17" spans="1:13" x14ac:dyDescent="0.3">
      <c r="A17" s="56" t="s">
        <v>187</v>
      </c>
      <c r="B17" s="37">
        <f>(BalanceSheet!B17/BalanceSheet!$B$39)</f>
        <v>0.13639125151883352</v>
      </c>
      <c r="C17" s="37">
        <f>(BalanceSheet!C17/BalanceSheet!$C$39)</f>
        <v>0.13225005642067253</v>
      </c>
      <c r="D17" s="37">
        <f>(BalanceSheet!D17/BalanceSheet!$D$39)</f>
        <v>0.14158374792703152</v>
      </c>
      <c r="E17" s="37">
        <f>(BalanceSheet!E17/BalanceSheet!$E$39)</f>
        <v>0.13115996967399546</v>
      </c>
      <c r="F17" s="37">
        <f>(BalanceSheet!F17/BalanceSheet!$F$39)</f>
        <v>0.13054351450483495</v>
      </c>
      <c r="G17" s="37">
        <f>(BalanceSheet!G17/BalanceSheet!$G$39)</f>
        <v>0.14434097421203437</v>
      </c>
      <c r="H17" s="37">
        <f>(BalanceSheet!H17/BalanceSheet!$H$39)</f>
        <v>0.14798153190481828</v>
      </c>
      <c r="I17" s="37">
        <f>(BalanceSheet!I17/BalanceSheet!$I$39)</f>
        <v>0.13529595991230817</v>
      </c>
      <c r="J17" s="37">
        <f>(BalanceSheet!J17/BalanceSheet!$J$39)</f>
        <v>0.14451712859356172</v>
      </c>
      <c r="K17" s="37">
        <f>(BalanceSheet!K17/BalanceSheet!$K$39)</f>
        <v>0.12062948574438664</v>
      </c>
      <c r="L17" s="37">
        <f>(BalanceSheet!L17/BalanceSheet!$L$39)</f>
        <v>8.2252205500778414E-2</v>
      </c>
      <c r="M17" s="37">
        <f>(BalanceSheet!M17/BalanceSheet!$M$39)</f>
        <v>7.8070553228142991E-2</v>
      </c>
    </row>
    <row r="18" spans="1:13" x14ac:dyDescent="0.3">
      <c r="A18" s="56" t="s">
        <v>188</v>
      </c>
      <c r="B18" s="37">
        <f>(BalanceSheet!B18/BalanceSheet!$B$39)</f>
        <v>0.11634264884568651</v>
      </c>
      <c r="C18" s="37">
        <f>(BalanceSheet!C18/BalanceSheet!$C$39)</f>
        <v>0.10787632588580456</v>
      </c>
      <c r="D18" s="37">
        <f>(BalanceSheet!D18/BalanceSheet!$D$39)</f>
        <v>0.11297678275290216</v>
      </c>
      <c r="E18" s="37">
        <f>(BalanceSheet!E18/BalanceSheet!$E$39)</f>
        <v>0.12054586808188021</v>
      </c>
      <c r="F18" s="37">
        <f>(BalanceSheet!F18/BalanceSheet!$F$39)</f>
        <v>0.13637879293097699</v>
      </c>
      <c r="G18" s="37">
        <f>(BalanceSheet!G18/BalanceSheet!$G$39)</f>
        <v>0.15616045845272206</v>
      </c>
      <c r="H18" s="37">
        <f>(BalanceSheet!H18/BalanceSheet!$H$39)</f>
        <v>0.16479223392920564</v>
      </c>
      <c r="I18" s="37">
        <f>(BalanceSheet!I18/BalanceSheet!$I$39)</f>
        <v>0.15387827539409124</v>
      </c>
      <c r="J18" s="37">
        <f>(BalanceSheet!J18/BalanceSheet!$J$39)</f>
        <v>0.13659838182131176</v>
      </c>
      <c r="K18" s="37">
        <f>(BalanceSheet!K18/BalanceSheet!$K$39)</f>
        <v>0.12892605517877131</v>
      </c>
      <c r="L18" s="37">
        <f>(BalanceSheet!L18/BalanceSheet!$L$39)</f>
        <v>0.14737934613388687</v>
      </c>
      <c r="M18" s="37">
        <f>(BalanceSheet!M18/BalanceSheet!$M$39)</f>
        <v>0.177166125053835</v>
      </c>
    </row>
    <row r="19" spans="1:13" x14ac:dyDescent="0.3">
      <c r="A19" s="56" t="s">
        <v>189</v>
      </c>
      <c r="B19" s="37">
        <f>(BalanceSheet!B19/BalanceSheet!$B$39)</f>
        <v>0.36816524908869985</v>
      </c>
      <c r="C19" s="37">
        <f>(BalanceSheet!C19/BalanceSheet!$C$39)</f>
        <v>0.37485894831866395</v>
      </c>
      <c r="D19" s="37">
        <f>(BalanceSheet!D19/BalanceSheet!$D$39)</f>
        <v>0.38038971807628524</v>
      </c>
      <c r="E19" s="37">
        <f>(BalanceSheet!E19/BalanceSheet!$E$39)</f>
        <v>0.39329037149355572</v>
      </c>
      <c r="F19" s="37">
        <f>(BalanceSheet!F19/BalanceSheet!$F$39)</f>
        <v>0.37479159719906635</v>
      </c>
      <c r="G19" s="37">
        <f>(BalanceSheet!G19/BalanceSheet!$G$39)</f>
        <v>0.42562082139446034</v>
      </c>
      <c r="H19" s="37">
        <f>(BalanceSheet!H19/BalanceSheet!$H$39)</f>
        <v>0.45353379898188706</v>
      </c>
      <c r="I19" s="37">
        <f>(BalanceSheet!I19/BalanceSheet!$I$39)</f>
        <v>0.4141350871698507</v>
      </c>
      <c r="J19" s="37">
        <f>(BalanceSheet!J19/BalanceSheet!$J$39)</f>
        <v>0.37880874505078327</v>
      </c>
      <c r="K19" s="37">
        <f>(BalanceSheet!K19/BalanceSheet!$K$39)</f>
        <v>0.36208599460064528</v>
      </c>
      <c r="L19" s="37">
        <f>(BalanceSheet!L19/BalanceSheet!$L$39)</f>
        <v>0.37182148417228855</v>
      </c>
      <c r="M19" s="37">
        <f>(BalanceSheet!M19/BalanceSheet!$M$39)</f>
        <v>0.43948944833796638</v>
      </c>
    </row>
    <row r="20" spans="1:13" x14ac:dyDescent="0.3">
      <c r="A20" s="56" t="s">
        <v>190</v>
      </c>
      <c r="B20" s="37">
        <f>(BalanceSheet!B20/BalanceSheet!$B$39)</f>
        <v>3.0376670716889429E-3</v>
      </c>
      <c r="C20" s="37">
        <f>(BalanceSheet!C20/BalanceSheet!$C$39)</f>
        <v>0.18776799819453849</v>
      </c>
      <c r="D20" s="37">
        <f>(BalanceSheet!D20/BalanceSheet!$D$39)</f>
        <v>0.18988391376451078</v>
      </c>
      <c r="E20" s="37">
        <f>(BalanceSheet!E20/BalanceSheet!$E$39)</f>
        <v>0.177407126611069</v>
      </c>
      <c r="F20" s="37">
        <f>(BalanceSheet!F20/BalanceSheet!$F$39)</f>
        <v>0.17022340780260087</v>
      </c>
      <c r="G20" s="37">
        <f>(BalanceSheet!G20/BalanceSheet!$G$39)</f>
        <v>0.14255014326647564</v>
      </c>
      <c r="H20" s="37">
        <f>(BalanceSheet!H20/BalanceSheet!$H$39)</f>
        <v>0.14348289333491179</v>
      </c>
      <c r="I20" s="37">
        <f>(BalanceSheet!I20/BalanceSheet!$I$39)</f>
        <v>0.12965862824929533</v>
      </c>
      <c r="J20" s="37">
        <f>(BalanceSheet!J20/BalanceSheet!$J$39)</f>
        <v>0.10655878808745051</v>
      </c>
      <c r="K20" s="37">
        <f>(BalanceSheet!K20/BalanceSheet!$K$39)</f>
        <v>8.5138605386185548E-2</v>
      </c>
      <c r="L20" s="37">
        <f>(BalanceSheet!L20/BalanceSheet!$L$39)</f>
        <v>6.6121778239058987E-2</v>
      </c>
      <c r="M20" s="37">
        <f>(BalanceSheet!M20/BalanceSheet!$M$39)</f>
        <v>7.4351043420382915E-2</v>
      </c>
    </row>
    <row r="21" spans="1:13" x14ac:dyDescent="0.3">
      <c r="A21" s="56" t="s">
        <v>191</v>
      </c>
      <c r="B21" s="37">
        <f>(BalanceSheet!B21/BalanceSheet!$B$39)</f>
        <v>3.3414337788578372E-3</v>
      </c>
      <c r="C21" s="37">
        <f>(BalanceSheet!C21/BalanceSheet!$C$39)</f>
        <v>3.3852403520649968E-3</v>
      </c>
      <c r="D21" s="37">
        <f>(BalanceSheet!D21/BalanceSheet!$D$39)</f>
        <v>3.7313432835820895E-3</v>
      </c>
      <c r="E21" s="37">
        <f>(BalanceSheet!E21/BalanceSheet!$E$39)</f>
        <v>3.7907505686125853E-3</v>
      </c>
      <c r="F21" s="37">
        <f>(BalanceSheet!F21/BalanceSheet!$F$39)</f>
        <v>2.8342780926975657E-3</v>
      </c>
      <c r="G21" s="37">
        <f>(BalanceSheet!G21/BalanceSheet!$G$39)</f>
        <v>2.7459407831900667E-3</v>
      </c>
      <c r="H21" s="37">
        <f>(BalanceSheet!H21/BalanceSheet!$H$39)</f>
        <v>2.9596306380963657E-3</v>
      </c>
      <c r="I21" s="37">
        <f>(BalanceSheet!I21/BalanceSheet!$I$39)</f>
        <v>2.9230608623029542E-3</v>
      </c>
      <c r="J21" s="37">
        <f>(BalanceSheet!J21/BalanceSheet!$J$39)</f>
        <v>2.8404200378722671E-3</v>
      </c>
      <c r="K21" s="37">
        <f>(BalanceSheet!K21/BalanceSheet!$K$39)</f>
        <v>2.6996773556331073E-3</v>
      </c>
      <c r="L21" s="37">
        <f>(BalanceSheet!L21/BalanceSheet!$L$39)</f>
        <v>2.8109323646427955E-3</v>
      </c>
      <c r="M21" s="37">
        <f>(BalanceSheet!M21/BalanceSheet!$M$39)</f>
        <v>3.2105242551192202E-3</v>
      </c>
    </row>
    <row r="22" spans="1:13" x14ac:dyDescent="0.3">
      <c r="A22" s="56" t="s">
        <v>192</v>
      </c>
      <c r="B22" s="37">
        <f>(BalanceSheet!B22/BalanceSheet!$B$39)</f>
        <v>3.0376670716889429E-3</v>
      </c>
      <c r="C22" s="37">
        <f>(BalanceSheet!C22/BalanceSheet!$C$39)</f>
        <v>3.1595576619273301E-3</v>
      </c>
      <c r="D22" s="37">
        <f>(BalanceSheet!D22/BalanceSheet!$D$39)</f>
        <v>3.3167495854063019E-3</v>
      </c>
      <c r="E22" s="37">
        <f>(BalanceSheet!E22/BalanceSheet!$E$39)</f>
        <v>3.2221379833206974E-3</v>
      </c>
      <c r="F22" s="37">
        <f>(BalanceSheet!F22/BalanceSheet!$F$39)</f>
        <v>3.3344448149383128E-3</v>
      </c>
      <c r="G22" s="37">
        <f>(BalanceSheet!G22/BalanceSheet!$G$39)</f>
        <v>2.9847182425978987E-3</v>
      </c>
      <c r="H22" s="37">
        <f>(BalanceSheet!H22/BalanceSheet!$H$39)</f>
        <v>3.0780158636202204E-3</v>
      </c>
      <c r="I22" s="37">
        <f>(BalanceSheet!I22/BalanceSheet!$I$39)</f>
        <v>3.0274558930994885E-3</v>
      </c>
      <c r="J22" s="37">
        <f>(BalanceSheet!J22/BalanceSheet!$J$39)</f>
        <v>2.4961266999483562E-3</v>
      </c>
      <c r="K22" s="37">
        <f>(BalanceSheet!K22/BalanceSheet!$K$39)</f>
        <v>2.6996773556331073E-3</v>
      </c>
      <c r="L22" s="37">
        <f>(BalanceSheet!L22/BalanceSheet!$L$39)</f>
        <v>2.9839128178515829E-3</v>
      </c>
      <c r="M22" s="37">
        <f>(BalanceSheet!M22/BalanceSheet!$M$39)</f>
        <v>2.8189969069339492E-3</v>
      </c>
    </row>
    <row r="23" spans="1:13" x14ac:dyDescent="0.3">
      <c r="A23" s="56" t="s">
        <v>193</v>
      </c>
      <c r="B23" s="37">
        <f>(BalanceSheet!B23/BalanceSheet!$B$39)</f>
        <v>3.6755771567436209E-2</v>
      </c>
      <c r="C23" s="37">
        <f>(BalanceSheet!C23/BalanceSheet!$C$39)</f>
        <v>2.979011509817197E-2</v>
      </c>
      <c r="D23" s="37">
        <f>(BalanceSheet!D23/BalanceSheet!$D$39)</f>
        <v>3.5033167495854063E-2</v>
      </c>
      <c r="E23" s="37">
        <f>(BalanceSheet!E23/BalanceSheet!$E$39)</f>
        <v>3.2789992418498864E-2</v>
      </c>
      <c r="F23" s="37">
        <f>(BalanceSheet!F23/BalanceSheet!$F$39)</f>
        <v>0.10870290096698899</v>
      </c>
      <c r="G23" s="37">
        <f>(BalanceSheet!G23/BalanceSheet!$G$39)</f>
        <v>8.8586437440305629E-2</v>
      </c>
      <c r="H23" s="37">
        <f>(BalanceSheet!H23/BalanceSheet!$H$39)</f>
        <v>7.3635610275837579E-2</v>
      </c>
      <c r="I23" s="37">
        <f>(BalanceSheet!I23/BalanceSheet!$I$39)</f>
        <v>7.2032571249608518E-2</v>
      </c>
      <c r="J23" s="37">
        <f>(BalanceSheet!J23/BalanceSheet!$J$39)</f>
        <v>6.8428300912377352E-2</v>
      </c>
      <c r="K23" s="37">
        <f>(BalanceSheet!K23/BalanceSheet!$K$39)</f>
        <v>7.1508527029696456E-2</v>
      </c>
      <c r="L23" s="37">
        <f>(BalanceSheet!L23/BalanceSheet!$L$39)</f>
        <v>6.4867669953295279E-2</v>
      </c>
      <c r="M23" s="37">
        <f>(BalanceSheet!M23/BalanceSheet!$M$39)</f>
        <v>7.2667475823186251E-2</v>
      </c>
    </row>
    <row r="24" spans="1:13" x14ac:dyDescent="0.3">
      <c r="A24" s="56" t="s">
        <v>194</v>
      </c>
      <c r="B24" s="37">
        <f>(BalanceSheet!B24/BalanceSheet!$B$39)</f>
        <v>3.0376670716889429E-3</v>
      </c>
      <c r="C24" s="37">
        <f>(BalanceSheet!C24/BalanceSheet!$C$39)</f>
        <v>9.8171970209884898E-2</v>
      </c>
      <c r="D24" s="37">
        <f>(BalanceSheet!D24/BalanceSheet!$D$39)</f>
        <v>8.5820895522388058E-2</v>
      </c>
      <c r="E24" s="37">
        <f>(BalanceSheet!E24/BalanceSheet!$E$39)</f>
        <v>9.4200151630022738E-2</v>
      </c>
      <c r="F24" s="37">
        <f>(BalanceSheet!F24/BalanceSheet!$F$39)</f>
        <v>9.7365788596198738E-2</v>
      </c>
      <c r="G24" s="37">
        <f>(BalanceSheet!G24/BalanceSheet!$G$39)</f>
        <v>7.6886341929321866E-2</v>
      </c>
      <c r="H24" s="37">
        <f>(BalanceSheet!H24/BalanceSheet!$H$39)</f>
        <v>7.6240085237362379E-2</v>
      </c>
      <c r="I24" s="37">
        <f>(BalanceSheet!I24/BalanceSheet!$I$39)</f>
        <v>6.7230399832967955E-2</v>
      </c>
      <c r="J24" s="37">
        <f>(BalanceSheet!J24/BalanceSheet!$J$39)</f>
        <v>5.5431227405749697E-2</v>
      </c>
      <c r="K24" s="37">
        <f>(BalanceSheet!K24/BalanceSheet!$K$39)</f>
        <v>4.2404688220188322E-2</v>
      </c>
      <c r="L24" s="37">
        <f>(BalanceSheet!L24/BalanceSheet!$L$39)</f>
        <v>6.6251513578965582E-2</v>
      </c>
      <c r="M24" s="37">
        <f>(BalanceSheet!M24/BalanceSheet!$M$39)</f>
        <v>6.6990329274499827E-2</v>
      </c>
    </row>
    <row r="25" spans="1:13" ht="15" customHeight="1" x14ac:dyDescent="0.3">
      <c r="A25" s="56" t="s">
        <v>195</v>
      </c>
      <c r="B25" s="37">
        <f>(BalanceSheet!B25/BalanceSheet!$B$39)</f>
        <v>0.9641555285540705</v>
      </c>
      <c r="C25" s="37">
        <f>(BalanceSheet!C25/BalanceSheet!$C$39)</f>
        <v>0.10810200857594222</v>
      </c>
      <c r="D25" s="37">
        <f>(BalanceSheet!D25/BalanceSheet!$D$39)</f>
        <v>0.11670812603648424</v>
      </c>
      <c r="E25" s="37">
        <f>(BalanceSheet!E25/BalanceSheet!$E$39)</f>
        <v>0.11144806671721001</v>
      </c>
      <c r="F25" s="37">
        <f>(BalanceSheet!F25/BalanceSheet!$F$39)</f>
        <v>5.0016672224074687E-3</v>
      </c>
      <c r="G25" s="37">
        <f>(BalanceSheet!G25/BalanceSheet!$G$39)</f>
        <v>4.1786055396370583E-3</v>
      </c>
      <c r="H25" s="37">
        <f>(BalanceSheet!H25/BalanceSheet!$H$39)</f>
        <v>3.7883272167633479E-3</v>
      </c>
      <c r="I25" s="37">
        <f>(BalanceSheet!I25/BalanceSheet!$I$39)</f>
        <v>3.9670111702682954E-3</v>
      </c>
      <c r="J25" s="37">
        <f>(BalanceSheet!J25/BalanceSheet!$J$39)</f>
        <v>3.0125667068342226E-3</v>
      </c>
      <c r="K25" s="37">
        <f>(BalanceSheet!K25/BalanceSheet!$K$39)</f>
        <v>3.3581352472509384E-3</v>
      </c>
      <c r="L25" s="37">
        <f>(BalanceSheet!L25/BalanceSheet!$L$39)</f>
        <v>8.6490226604393709E-3</v>
      </c>
      <c r="M25" s="37">
        <f>(BalanceSheet!M25/BalanceSheet!$M$39)</f>
        <v>9.2400454171723892E-3</v>
      </c>
    </row>
    <row r="26" spans="1:13" x14ac:dyDescent="0.3">
      <c r="A26" s="57" t="s">
        <v>196</v>
      </c>
      <c r="B26" s="37">
        <f>(BalanceSheet!B26/BalanceSheet!$B$39)</f>
        <v>1.6342648845686514</v>
      </c>
      <c r="C26" s="37">
        <f>(BalanceSheet!C26/BalanceSheet!$C$39)</f>
        <v>1.0453622207176709</v>
      </c>
      <c r="D26" s="37">
        <f>(BalanceSheet!D26/BalanceSheet!$D$39)</f>
        <v>1.0694444444444444</v>
      </c>
      <c r="E26" s="37">
        <f>(BalanceSheet!E26/BalanceSheet!$E$39)</f>
        <v>1.068043972706596</v>
      </c>
      <c r="F26" s="37">
        <f>(BalanceSheet!F26/BalanceSheet!$F$39)</f>
        <v>1.0290096698899633</v>
      </c>
      <c r="G26" s="37">
        <f>(BalanceSheet!G26/BalanceSheet!$G$39)</f>
        <v>1.0440544412607451</v>
      </c>
      <c r="H26" s="37">
        <f>(BalanceSheet!H26/BalanceSheet!$H$39)</f>
        <v>1.0693737421569789</v>
      </c>
      <c r="I26" s="37">
        <f>(BalanceSheet!I26/BalanceSheet!$I$39)</f>
        <v>0.98235723979538569</v>
      </c>
      <c r="J26" s="37">
        <f>(BalanceSheet!J26/BalanceSheet!$J$39)</f>
        <v>0.89869168531588917</v>
      </c>
      <c r="K26" s="37">
        <f>(BalanceSheet!K26/BalanceSheet!$K$39)</f>
        <v>0.8194508461183907</v>
      </c>
      <c r="L26" s="37">
        <f>(BalanceSheet!L26/BalanceSheet!$L$39)</f>
        <v>0.81309462030790525</v>
      </c>
      <c r="M26" s="37">
        <f>(BalanceSheet!M26/BalanceSheet!$M$39)</f>
        <v>0.924004541717239</v>
      </c>
    </row>
    <row r="27" spans="1:13" x14ac:dyDescent="0.3">
      <c r="A27" s="56" t="s">
        <v>197</v>
      </c>
      <c r="B27" s="37">
        <f>(BalanceSheet!B27/BalanceSheet!$B$39)</f>
        <v>0.91919805589307413</v>
      </c>
      <c r="C27" s="37">
        <f>(BalanceSheet!C27/BalanceSheet!$C$39)</f>
        <v>0.25660121868652674</v>
      </c>
      <c r="D27" s="37">
        <f>(BalanceSheet!D27/BalanceSheet!$D$39)</f>
        <v>0.29912935323383083</v>
      </c>
      <c r="E27" s="37">
        <f>(BalanceSheet!E27/BalanceSheet!$E$39)</f>
        <v>0.3134950720242608</v>
      </c>
      <c r="F27" s="37">
        <f>(BalanceSheet!F27/BalanceSheet!$F$39)</f>
        <v>0.29759919973324439</v>
      </c>
      <c r="G27" s="37">
        <f>(BalanceSheet!G27/BalanceSheet!$G$39)</f>
        <v>0.27041547277936961</v>
      </c>
      <c r="H27" s="37">
        <f>(BalanceSheet!H27/BalanceSheet!$H$39)</f>
        <v>0.31064283177459451</v>
      </c>
      <c r="I27" s="37">
        <f>(BalanceSheet!I27/BalanceSheet!$I$39)</f>
        <v>0.32352020043845914</v>
      </c>
      <c r="J27" s="37">
        <f>(BalanceSheet!J27/BalanceSheet!$J$39)</f>
        <v>0.3020313306937511</v>
      </c>
      <c r="K27" s="37">
        <f>(BalanceSheet!K27/BalanceSheet!$K$39)</f>
        <v>0.26575360505695661</v>
      </c>
      <c r="L27" s="37">
        <f>(BalanceSheet!L27/BalanceSheet!$L$39)</f>
        <v>0.23352361183186299</v>
      </c>
      <c r="M27" s="37">
        <f>(BalanceSheet!M27/BalanceSheet!$M$39)</f>
        <v>0.26784385889354373</v>
      </c>
    </row>
    <row r="28" spans="1:13" x14ac:dyDescent="0.3">
      <c r="A28" s="44" t="s">
        <v>198</v>
      </c>
      <c r="B28" s="37">
        <f>(BalanceSheet!B28/BalanceSheet!$B$39)</f>
        <v>7.5941676792223569E-3</v>
      </c>
      <c r="C28" s="37">
        <f>(BalanceSheet!C28/BalanceSheet!$C$39)</f>
        <v>8.5759422252313245E-3</v>
      </c>
      <c r="D28" s="37">
        <f>(BalanceSheet!D28/BalanceSheet!$D$39)</f>
        <v>1.9900497512437811E-2</v>
      </c>
      <c r="E28" s="37">
        <f>(BalanceSheet!E28/BalanceSheet!$E$39)</f>
        <v>2.7482941622441245E-2</v>
      </c>
      <c r="F28" s="37">
        <f>(BalanceSheet!F28/BalanceSheet!$F$39)</f>
        <v>5.8686228742914306E-2</v>
      </c>
      <c r="G28" s="37">
        <f>(BalanceSheet!G28/BalanceSheet!$G$39)</f>
        <v>7.6408787010506206E-3</v>
      </c>
      <c r="H28" s="37">
        <f>(BalanceSheet!H28/BalanceSheet!$H$39)</f>
        <v>7.9318101100982596E-3</v>
      </c>
      <c r="I28" s="37">
        <f>(BalanceSheet!I28/BalanceSheet!$I$39)</f>
        <v>5.1884330305877441E-2</v>
      </c>
      <c r="J28" s="37">
        <f>(BalanceSheet!J28/BalanceSheet!$J$39)</f>
        <v>5.224651402995352E-2</v>
      </c>
      <c r="K28" s="37">
        <f>(BalanceSheet!K28/BalanceSheet!$K$39)</f>
        <v>0.12655560676894712</v>
      </c>
      <c r="L28" s="37">
        <f>(BalanceSheet!L28/BalanceSheet!$L$39)</f>
        <v>5.0467047223663727E-2</v>
      </c>
      <c r="M28" s="37">
        <f>(BalanceSheet!M28/BalanceSheet!$M$39)</f>
        <v>1.0610391135820837E-2</v>
      </c>
    </row>
    <row r="29" spans="1:13" ht="15" customHeight="1" x14ac:dyDescent="0.3">
      <c r="A29" s="46" t="s">
        <v>199</v>
      </c>
      <c r="B29" s="37">
        <f>(BalanceSheet!B29/BalanceSheet!$B$39)</f>
        <v>9.2345078979343867E-2</v>
      </c>
      <c r="C29" s="37">
        <f>(BalanceSheet!C29/BalanceSheet!$C$39)</f>
        <v>6.770480704129993E-4</v>
      </c>
      <c r="D29" s="37">
        <f>(BalanceSheet!D29/BalanceSheet!$D$39)</f>
        <v>1.4510779436152569E-3</v>
      </c>
      <c r="E29" s="37">
        <f>(BalanceSheet!E29/BalanceSheet!$E$39)</f>
        <v>1.5163002274450341E-3</v>
      </c>
      <c r="F29" s="37">
        <f>(BalanceSheet!F29/BalanceSheet!$F$39)</f>
        <v>1.8339446482160721E-3</v>
      </c>
      <c r="G29" s="37">
        <f>(BalanceSheet!G29/BalanceSheet!$G$39)</f>
        <v>0</v>
      </c>
      <c r="H29" s="37">
        <f>(BalanceSheet!H29/BalanceSheet!$H$39)</f>
        <v>0</v>
      </c>
      <c r="I29" s="37">
        <f>(BalanceSheet!I29/BalanceSheet!$I$39)</f>
        <v>0</v>
      </c>
      <c r="J29" s="37">
        <f>(BalanceSheet!J29/BalanceSheet!$J$39)</f>
        <v>0</v>
      </c>
      <c r="K29" s="37">
        <f>(BalanceSheet!K29/BalanceSheet!$K$39)</f>
        <v>1.3827615723974451E-3</v>
      </c>
      <c r="L29" s="37">
        <f>(BalanceSheet!L29/BalanceSheet!$L$39)</f>
        <v>2.5947067981318111E-3</v>
      </c>
      <c r="M29" s="37">
        <f>(BalanceSheet!M29/BalanceSheet!$M$39)</f>
        <v>6.812575858423711E-3</v>
      </c>
    </row>
    <row r="30" spans="1:13" x14ac:dyDescent="0.3">
      <c r="A30" s="49" t="s">
        <v>200</v>
      </c>
      <c r="B30" s="37">
        <f>(BalanceSheet!B30/BalanceSheet!$B$39)</f>
        <v>0.18469015795868773</v>
      </c>
      <c r="C30" s="37">
        <f>(BalanceSheet!C30/BalanceSheet!$C$39)</f>
        <v>0.20176032498307381</v>
      </c>
      <c r="D30" s="37">
        <f>(BalanceSheet!D30/BalanceSheet!$D$39)</f>
        <v>0.20854063018242122</v>
      </c>
      <c r="E30" s="37">
        <f>(BalanceSheet!E30/BalanceSheet!$E$39)</f>
        <v>0.216262319939348</v>
      </c>
      <c r="F30" s="37">
        <f>(BalanceSheet!F30/BalanceSheet!$F$39)</f>
        <v>0.20790263421140381</v>
      </c>
      <c r="G30" s="37">
        <f>(BalanceSheet!G30/BalanceSheet!$G$39)</f>
        <v>0.21883954154727794</v>
      </c>
      <c r="H30" s="37">
        <f>(BalanceSheet!H30/BalanceSheet!$H$39)</f>
        <v>0.23345566473304133</v>
      </c>
      <c r="I30" s="37">
        <f>(BalanceSheet!I30/BalanceSheet!$I$39)</f>
        <v>0.28938302536799249</v>
      </c>
      <c r="J30" s="37">
        <f>(BalanceSheet!J30/BalanceSheet!$J$39)</f>
        <v>0.35109313134790843</v>
      </c>
      <c r="K30" s="37">
        <f>(BalanceSheet!K30/BalanceSheet!$K$39)</f>
        <v>0.31836439059722133</v>
      </c>
      <c r="L30" s="37">
        <f>(BalanceSheet!L30/BalanceSheet!$L$39)</f>
        <v>0.36741048261546444</v>
      </c>
      <c r="M30" s="37">
        <f>(BalanceSheet!M30/BalanceSheet!$M$39)</f>
        <v>0.32641635018206022</v>
      </c>
    </row>
    <row r="31" spans="1:13" ht="15" customHeight="1" x14ac:dyDescent="0.3">
      <c r="A31" s="51" t="s">
        <v>104</v>
      </c>
      <c r="B31" s="37">
        <f>(BalanceSheet!B31/BalanceSheet!$B$39)</f>
        <v>8.778857837181045E-2</v>
      </c>
      <c r="C31" s="37">
        <f>(BalanceSheet!C31/BalanceSheet!$C$39)</f>
        <v>9.5915143308508241E-2</v>
      </c>
      <c r="D31" s="37">
        <f>(BalanceSheet!D31/BalanceSheet!$D$39)</f>
        <v>0.10157545605306799</v>
      </c>
      <c r="E31" s="37">
        <f>(BalanceSheet!E31/BalanceSheet!$E$39)</f>
        <v>8.3206974981046247E-2</v>
      </c>
      <c r="F31" s="37">
        <f>(BalanceSheet!F31/BalanceSheet!$F$39)</f>
        <v>9.6365455151717239E-2</v>
      </c>
      <c r="G31" s="37">
        <f>(BalanceSheet!G31/BalanceSheet!$G$39)</f>
        <v>0.10530085959885387</v>
      </c>
      <c r="H31" s="37">
        <f>(BalanceSheet!H31/BalanceSheet!$H$39)</f>
        <v>0.10997987451166094</v>
      </c>
      <c r="I31" s="37">
        <f>(BalanceSheet!I31/BalanceSheet!$I$39)</f>
        <v>0.15116400459338136</v>
      </c>
      <c r="J31" s="37">
        <f>(BalanceSheet!J31/BalanceSheet!$J$39)</f>
        <v>0.17163022895506971</v>
      </c>
      <c r="K31" s="37">
        <f>(BalanceSheet!K31/BalanceSheet!$K$39)</f>
        <v>0.14163429248699547</v>
      </c>
      <c r="L31" s="37">
        <f>(BalanceSheet!L31/BalanceSheet!$L$39)</f>
        <v>0.12069711122643141</v>
      </c>
      <c r="M31" s="37">
        <f>(BalanceSheet!M31/BalanceSheet!$M$39)</f>
        <v>0.11557887318429193</v>
      </c>
    </row>
    <row r="32" spans="1:13" x14ac:dyDescent="0.3">
      <c r="A32" s="59" t="s">
        <v>201</v>
      </c>
      <c r="B32" s="37">
        <f>(BalanceSheet!B32/BalanceSheet!$B$39)</f>
        <v>2.9465370595382748E-2</v>
      </c>
      <c r="C32" s="37">
        <f>(BalanceSheet!C32/BalanceSheet!$C$39)</f>
        <v>2.2116903633491312E-2</v>
      </c>
      <c r="D32" s="37">
        <f>(BalanceSheet!D32/BalanceSheet!$D$39)</f>
        <v>2.7155887230514097E-2</v>
      </c>
      <c r="E32" s="37">
        <f>(BalanceSheet!E32/BalanceSheet!$E$39)</f>
        <v>2.843062926459439E-2</v>
      </c>
      <c r="F32" s="37">
        <f>(BalanceSheet!F32/BalanceSheet!$F$39)</f>
        <v>2.13404468156052E-2</v>
      </c>
      <c r="G32" s="37">
        <f>(BalanceSheet!G32/BalanceSheet!$G$39)</f>
        <v>2.0654250238777459E-2</v>
      </c>
      <c r="H32" s="37">
        <f>(BalanceSheet!H32/BalanceSheet!$H$39)</f>
        <v>2.8649224576772818E-2</v>
      </c>
      <c r="I32" s="37">
        <f>(BalanceSheet!I32/BalanceSheet!$I$39)</f>
        <v>2.3071301806034034E-2</v>
      </c>
      <c r="J32" s="37">
        <f>(BalanceSheet!J32/BalanceSheet!$J$39)</f>
        <v>2.5735927009812361E-2</v>
      </c>
      <c r="K32" s="37">
        <f>(BalanceSheet!K32/BalanceSheet!$K$39)</f>
        <v>2.3638638309080133E-2</v>
      </c>
      <c r="L32" s="37">
        <f>(BalanceSheet!L32/BalanceSheet!$L$39)</f>
        <v>3.6585365853658534E-2</v>
      </c>
      <c r="M32" s="37">
        <f>(BalanceSheet!M32/BalanceSheet!$M$39)</f>
        <v>4.8901765788340316E-2</v>
      </c>
    </row>
    <row r="33" spans="1:13" x14ac:dyDescent="0.3">
      <c r="A33" s="51" t="s">
        <v>202</v>
      </c>
      <c r="B33" s="37">
        <f>(BalanceSheet!B33/BalanceSheet!$B$39)</f>
        <v>1.0935601458080195E-2</v>
      </c>
      <c r="C33" s="37">
        <f>(BalanceSheet!C33/BalanceSheet!$C$39)</f>
        <v>1.1284134506883321E-2</v>
      </c>
      <c r="D33" s="37">
        <f>(BalanceSheet!D33/BalanceSheet!$D$39)</f>
        <v>0</v>
      </c>
      <c r="E33" s="37">
        <f>(BalanceSheet!E33/BalanceSheet!$E$39)</f>
        <v>0</v>
      </c>
      <c r="F33" s="37">
        <f>(BalanceSheet!F33/BalanceSheet!$F$39)</f>
        <v>0</v>
      </c>
      <c r="G33" s="37">
        <f>(BalanceSheet!G33/BalanceSheet!$G$39)</f>
        <v>0</v>
      </c>
      <c r="H33" s="37">
        <f>(BalanceSheet!H33/BalanceSheet!$H$39)</f>
        <v>0</v>
      </c>
      <c r="I33" s="37">
        <f>(BalanceSheet!I33/BalanceSheet!$I$39)</f>
        <v>6.159306816995511E-3</v>
      </c>
      <c r="J33" s="37">
        <f>(BalanceSheet!J33/BalanceSheet!$J$39)</f>
        <v>4.734033396453779E-3</v>
      </c>
      <c r="K33" s="37">
        <f>(BalanceSheet!K33/BalanceSheet!$K$39)</f>
        <v>0</v>
      </c>
      <c r="L33" s="37">
        <f>(BalanceSheet!L33/BalanceSheet!$L$39)</f>
        <v>3.7623248572911262E-3</v>
      </c>
      <c r="M33" s="37">
        <f>(BalanceSheet!M33/BalanceSheet!$M$39)</f>
        <v>5.3639246701382088E-3</v>
      </c>
    </row>
    <row r="34" spans="1:13" x14ac:dyDescent="0.3">
      <c r="A34" s="51" t="s">
        <v>203</v>
      </c>
      <c r="B34" s="37">
        <f>(BalanceSheet!B34/BalanceSheet!$B$39)</f>
        <v>2.3086269744835967E-2</v>
      </c>
      <c r="C34" s="37">
        <f>(BalanceSheet!C34/BalanceSheet!$C$39)</f>
        <v>1.4669374858948319E-2</v>
      </c>
      <c r="D34" s="37">
        <f>(BalanceSheet!D34/BalanceSheet!$D$39)</f>
        <v>3.2545605306799334E-2</v>
      </c>
      <c r="E34" s="37">
        <f>(BalanceSheet!E34/BalanceSheet!$E$39)</f>
        <v>3.4116755117513269E-2</v>
      </c>
      <c r="F34" s="37">
        <f>(BalanceSheet!F34/BalanceSheet!$F$39)</f>
        <v>2.7175725241747248E-2</v>
      </c>
      <c r="G34" s="37">
        <f>(BalanceSheet!G34/BalanceSheet!$G$39)</f>
        <v>2.5310410697230182E-2</v>
      </c>
      <c r="H34" s="37">
        <f>(BalanceSheet!H34/BalanceSheet!$H$39)</f>
        <v>3.3739789274298569E-2</v>
      </c>
      <c r="I34" s="37">
        <f>(BalanceSheet!I34/BalanceSheet!$I$39)</f>
        <v>2.2131746528865227E-2</v>
      </c>
      <c r="J34" s="37">
        <f>(BalanceSheet!J34/BalanceSheet!$J$39)</f>
        <v>2.5649853675331381E-2</v>
      </c>
      <c r="K34" s="37">
        <f>(BalanceSheet!K34/BalanceSheet!$K$39)</f>
        <v>2.7523539869625337E-2</v>
      </c>
      <c r="L34" s="37">
        <f>(BalanceSheet!L34/BalanceSheet!$L$39)</f>
        <v>3.7450268119702472E-2</v>
      </c>
      <c r="M34" s="37">
        <f>(BalanceSheet!M34/BalanceSheet!$M$39)</f>
        <v>4.7922947417877136E-2</v>
      </c>
    </row>
    <row r="35" spans="1:13" x14ac:dyDescent="0.3">
      <c r="A35" s="60" t="s">
        <v>204</v>
      </c>
      <c r="B35" s="37">
        <f>(BalanceSheet!B35/BalanceSheet!$B$39)</f>
        <v>-4.556500607533414E-3</v>
      </c>
      <c r="C35" s="37">
        <f>(BalanceSheet!C35/BalanceSheet!$C$39)</f>
        <v>-3.8366057323403293E-3</v>
      </c>
      <c r="D35" s="37">
        <f>(BalanceSheet!D35/BalanceSheet!$D$39)</f>
        <v>-5.1824212271973464E-3</v>
      </c>
      <c r="E35" s="37">
        <f>(BalanceSheet!E35/BalanceSheet!$E$39)</f>
        <v>-5.6861258529188781E-3</v>
      </c>
      <c r="F35" s="37">
        <f>(BalanceSheet!F35/BalanceSheet!$F$39)</f>
        <v>-5.8352784261420472E-3</v>
      </c>
      <c r="G35" s="37">
        <f>(BalanceSheet!G35/BalanceSheet!$G$39)</f>
        <v>-4.6561604584527223E-3</v>
      </c>
      <c r="H35" s="37">
        <f>(BalanceSheet!H35/BalanceSheet!$H$39)</f>
        <v>-5.2089499230496038E-3</v>
      </c>
      <c r="I35" s="37">
        <f>(BalanceSheet!I35/BalanceSheet!$I$39)</f>
        <v>-5.2197515398267041E-3</v>
      </c>
      <c r="J35" s="37">
        <f>(BalanceSheet!J35/BalanceSheet!$J$39)</f>
        <v>-4.6479600619728006E-3</v>
      </c>
      <c r="K35" s="37">
        <f>(BalanceSheet!K35/BalanceSheet!$K$39)</f>
        <v>-3.8849015605452032E-3</v>
      </c>
      <c r="L35" s="37">
        <f>(BalanceSheet!L35/BalanceSheet!$L$39)</f>
        <v>-4.6704722366372603E-3</v>
      </c>
      <c r="M35" s="37">
        <f>(BalanceSheet!M35/BalanceSheet!$M$39)</f>
        <v>-4.3851062996750319E-3</v>
      </c>
    </row>
    <row r="36" spans="1:13" x14ac:dyDescent="0.3">
      <c r="A36" s="60" t="s">
        <v>205</v>
      </c>
      <c r="B36" s="37">
        <f>(BalanceSheet!B36/BalanceSheet!$B$39)</f>
        <v>1.0328068043742407E-2</v>
      </c>
      <c r="C36" s="37">
        <f>(BalanceSheet!C36/BalanceSheet!$C$39)</f>
        <v>1.3089596027984653E-2</v>
      </c>
      <c r="D36" s="37">
        <f>(BalanceSheet!D36/BalanceSheet!$D$39)</f>
        <v>1.3681592039800995E-2</v>
      </c>
      <c r="E36" s="37">
        <f>(BalanceSheet!E36/BalanceSheet!$E$39)</f>
        <v>1.7816527672479151E-2</v>
      </c>
      <c r="F36" s="37">
        <f>(BalanceSheet!F36/BalanceSheet!$F$39)</f>
        <v>1.5505168389463154E-2</v>
      </c>
      <c r="G36" s="37">
        <f>(BalanceSheet!G36/BalanceSheet!$G$39)</f>
        <v>2.0415472779369628E-2</v>
      </c>
      <c r="H36" s="37">
        <f>(BalanceSheet!H36/BalanceSheet!$H$39)</f>
        <v>2.2493192849532377E-2</v>
      </c>
      <c r="I36" s="37">
        <f>(BalanceSheet!I36/BalanceSheet!$I$39)</f>
        <v>3.5181125378431988E-2</v>
      </c>
      <c r="J36" s="37">
        <f>(BalanceSheet!J36/BalanceSheet!$J$39)</f>
        <v>2.4530900327078671E-2</v>
      </c>
      <c r="K36" s="37">
        <f>(BalanceSheet!K36/BalanceSheet!$K$39)</f>
        <v>3.0289063014420227E-2</v>
      </c>
      <c r="L36" s="37">
        <f>(BalanceSheet!L36/BalanceSheet!$L$39)</f>
        <v>0.10595052759038229</v>
      </c>
      <c r="M36" s="37">
        <f>(BalanceSheet!M36/BalanceSheet!$M$39)</f>
        <v>7.8227164167417096E-2</v>
      </c>
    </row>
    <row r="37" spans="1:13" x14ac:dyDescent="0.3">
      <c r="A37" s="60" t="s">
        <v>206</v>
      </c>
      <c r="B37" s="37">
        <f>(BalanceSheet!B37/BalanceSheet!$B$39)</f>
        <v>1.9137302551640339E-2</v>
      </c>
      <c r="C37" s="37">
        <f>(BalanceSheet!C37/BalanceSheet!$C$39)</f>
        <v>1.2863913337846988E-2</v>
      </c>
      <c r="D37" s="37">
        <f>(BalanceSheet!D37/BalanceSheet!$D$39)</f>
        <v>1.9278606965174128E-2</v>
      </c>
      <c r="E37" s="37">
        <f>(BalanceSheet!E37/BalanceSheet!$E$39)</f>
        <v>1.6868840030326005E-2</v>
      </c>
      <c r="F37" s="37">
        <f>(BalanceSheet!F37/BalanceSheet!$F$39)</f>
        <v>1.7172390796932311E-2</v>
      </c>
      <c r="G37" s="37">
        <f>(BalanceSheet!G37/BalanceSheet!$G$39)</f>
        <v>1.5281757402101241E-2</v>
      </c>
      <c r="H37" s="37">
        <f>(BalanceSheet!H37/BalanceSheet!$H$39)</f>
        <v>2.2729963300580087E-2</v>
      </c>
      <c r="I37" s="37">
        <f>(BalanceSheet!I37/BalanceSheet!$I$39)</f>
        <v>1.9521870758951874E-2</v>
      </c>
      <c r="J37" s="37">
        <f>(BalanceSheet!J37/BalanceSheet!$J$39)</f>
        <v>2.4789120330521604E-2</v>
      </c>
      <c r="K37" s="37">
        <f>(BalanceSheet!K37/BalanceSheet!$K$39)</f>
        <v>1.6658984657931124E-2</v>
      </c>
      <c r="L37" s="37">
        <f>(BalanceSheet!L37/BalanceSheet!$L$39)</f>
        <v>2.871475523265871E-2</v>
      </c>
      <c r="M37" s="37">
        <f>(BalanceSheet!M37/BalanceSheet!$M$39)</f>
        <v>1.1745820445558122E-2</v>
      </c>
    </row>
    <row r="38" spans="1:13" ht="15" customHeight="1" x14ac:dyDescent="0.3">
      <c r="A38" s="60" t="s">
        <v>207</v>
      </c>
      <c r="B38" s="37">
        <f>(BalanceSheet!B38/BalanceSheet!$B$39)</f>
        <v>3.7970838396111789E-2</v>
      </c>
      <c r="C38" s="37">
        <f>(BalanceSheet!C38/BalanceSheet!$C$39)</f>
        <v>5.8000451365380276E-2</v>
      </c>
      <c r="D38" s="37">
        <f>(BalanceSheet!D38/BalanceSheet!$D$39)</f>
        <v>4.7056384742951908E-2</v>
      </c>
      <c r="E38" s="37">
        <f>(BalanceSheet!E38/BalanceSheet!$E$39)</f>
        <v>6.9939347990902193E-2</v>
      </c>
      <c r="F38" s="37">
        <f>(BalanceSheet!F38/BalanceSheet!$F$39)</f>
        <v>5.7519173057685898E-2</v>
      </c>
      <c r="G38" s="37">
        <f>(BalanceSheet!G38/BalanceSheet!$G$39)</f>
        <v>5.730659025787966E-2</v>
      </c>
      <c r="H38" s="37">
        <f>(BalanceSheet!H38/BalanceSheet!$H$39)</f>
        <v>4.972179472001894E-2</v>
      </c>
      <c r="I38" s="37">
        <f>(BalanceSheet!I38/BalanceSheet!$I$39)</f>
        <v>6.0444722831193239E-2</v>
      </c>
      <c r="J38" s="37">
        <f>(BalanceSheet!J38/BalanceSheet!$J$39)</f>
        <v>0.10440695472542606</v>
      </c>
      <c r="K38" s="37">
        <f>(BalanceSheet!K38/BalanceSheet!$K$39)</f>
        <v>0.10614341212879437</v>
      </c>
      <c r="L38" s="37">
        <f>(BalanceSheet!L38/BalanceSheet!$L$39)</f>
        <v>7.5462722712333508E-2</v>
      </c>
      <c r="M38" s="37">
        <f>(BalanceSheet!M38/BalanceSheet!$M$39)</f>
        <v>7.1923573861634241E-2</v>
      </c>
    </row>
    <row r="39" spans="1:13" x14ac:dyDescent="0.3">
      <c r="A39" s="53" t="s">
        <v>208</v>
      </c>
      <c r="B39" s="37">
        <f>(BalanceSheet!B39/BalanceSheet!$B$39)</f>
        <v>1</v>
      </c>
      <c r="C39" s="37">
        <f>(BalanceSheet!C39/BalanceSheet!$C$39)</f>
        <v>1</v>
      </c>
      <c r="D39" s="37">
        <f>(BalanceSheet!D39/BalanceSheet!$D$39)</f>
        <v>1</v>
      </c>
      <c r="E39" s="37">
        <f>(BalanceSheet!E39/BalanceSheet!$E$39)</f>
        <v>1</v>
      </c>
      <c r="F39" s="37">
        <f>(BalanceSheet!F39/BalanceSheet!$F$39)</f>
        <v>1</v>
      </c>
      <c r="G39" s="37">
        <f>(BalanceSheet!G39/BalanceSheet!$G$39)</f>
        <v>1</v>
      </c>
      <c r="H39" s="37">
        <f>(BalanceSheet!H39/BalanceSheet!$H$39)</f>
        <v>1</v>
      </c>
      <c r="I39" s="37">
        <f>(BalanceSheet!I39/BalanceSheet!$I$39)</f>
        <v>1</v>
      </c>
      <c r="J39" s="37">
        <f>(BalanceSheet!J39/BalanceSheet!$J$39)</f>
        <v>1</v>
      </c>
      <c r="K39" s="37">
        <f>(BalanceSheet!K39/BalanceSheet!$K$39)</f>
        <v>1</v>
      </c>
      <c r="L39" s="37">
        <f>(BalanceSheet!L39/BalanceSheet!$L$39)</f>
        <v>1</v>
      </c>
      <c r="M39" s="37">
        <f>(BalanceSheet!M39/BalanceSheet!$M$39)</f>
        <v>1</v>
      </c>
    </row>
  </sheetData>
  <pageMargins left="0.7" right="0.7" top="0.75" bottom="0.75" header="0.511811023622047" footer="0.511811023622047"/>
  <pageSetup paperSize="9" orientation="portrait" horizontalDpi="300" verticalDpi="30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N31"/>
  <sheetViews>
    <sheetView showGridLines="0" zoomScaleNormal="100" workbookViewId="0">
      <pane ySplit="1" topLeftCell="A2" activePane="bottomLeft" state="frozen"/>
      <selection pane="bottomLeft" activeCell="N12" sqref="N12"/>
    </sheetView>
  </sheetViews>
  <sheetFormatPr defaultColWidth="8.6640625" defaultRowHeight="14.4" x14ac:dyDescent="0.3"/>
  <cols>
    <col min="1" max="1" width="20.88671875" style="8" customWidth="1"/>
    <col min="2" max="13" width="8.44140625" style="8" customWidth="1"/>
    <col min="14" max="14" width="7.77734375" style="8" customWidth="1"/>
  </cols>
  <sheetData>
    <row r="1" spans="1:14" ht="15" customHeight="1" x14ac:dyDescent="0.3">
      <c r="A1" s="61"/>
      <c r="B1" s="43">
        <v>41974</v>
      </c>
      <c r="C1" s="43">
        <v>42339</v>
      </c>
      <c r="D1" s="43">
        <v>42705</v>
      </c>
      <c r="E1" s="43">
        <v>43070</v>
      </c>
      <c r="F1" s="43">
        <v>43435</v>
      </c>
      <c r="G1" s="43">
        <v>43800</v>
      </c>
      <c r="H1" s="43">
        <v>44166</v>
      </c>
      <c r="I1" s="43">
        <v>44531</v>
      </c>
      <c r="J1" s="43">
        <v>44896</v>
      </c>
      <c r="K1" s="43">
        <v>45261</v>
      </c>
      <c r="L1" s="43">
        <v>45627</v>
      </c>
      <c r="M1" s="43">
        <v>45992</v>
      </c>
      <c r="N1" s="62" t="s">
        <v>209</v>
      </c>
    </row>
    <row r="2" spans="1:14" x14ac:dyDescent="0.3">
      <c r="A2" s="49" t="s">
        <v>48</v>
      </c>
      <c r="B2" s="50">
        <v>2502</v>
      </c>
      <c r="C2" s="50">
        <v>3394</v>
      </c>
      <c r="D2" s="50">
        <v>3861</v>
      </c>
      <c r="E2" s="50">
        <v>4004</v>
      </c>
      <c r="F2" s="50">
        <v>5105</v>
      </c>
      <c r="G2" s="50">
        <v>7130</v>
      </c>
      <c r="H2" s="50">
        <v>6450</v>
      </c>
      <c r="I2" s="50">
        <v>8823</v>
      </c>
      <c r="J2" s="50">
        <v>13173</v>
      </c>
      <c r="K2" s="50">
        <v>16043</v>
      </c>
      <c r="L2" s="50">
        <v>20008</v>
      </c>
      <c r="M2" s="50">
        <v>21685</v>
      </c>
      <c r="N2" s="50">
        <v>22693</v>
      </c>
    </row>
    <row r="3" spans="1:14" ht="15" customHeight="1" x14ac:dyDescent="0.3">
      <c r="A3" s="51" t="s">
        <v>210</v>
      </c>
      <c r="B3" s="63">
        <v>0.18310000000000001</v>
      </c>
      <c r="C3" s="63">
        <v>0.35639999999999999</v>
      </c>
      <c r="D3" s="63">
        <v>0.1376</v>
      </c>
      <c r="E3" s="63">
        <v>3.6900000000000002E-2</v>
      </c>
      <c r="F3" s="63">
        <v>0.2752</v>
      </c>
      <c r="G3" s="63">
        <v>0.39650000000000002</v>
      </c>
      <c r="H3" s="63">
        <v>-9.5299999999999996E-2</v>
      </c>
      <c r="I3" s="63">
        <v>0.3679</v>
      </c>
      <c r="J3" s="63">
        <v>0.49299999999999999</v>
      </c>
      <c r="K3" s="63">
        <v>0.21779999999999999</v>
      </c>
      <c r="L3" s="63">
        <v>0.2472</v>
      </c>
      <c r="M3" s="63">
        <v>8.3900000000000002E-2</v>
      </c>
      <c r="N3" s="45"/>
    </row>
    <row r="4" spans="1:14" ht="15" customHeight="1" x14ac:dyDescent="0.3">
      <c r="A4" s="53" t="s">
        <v>211</v>
      </c>
      <c r="B4" s="55">
        <v>2116</v>
      </c>
      <c r="C4" s="55">
        <v>2752</v>
      </c>
      <c r="D4" s="55">
        <v>3052</v>
      </c>
      <c r="E4" s="55">
        <v>3165</v>
      </c>
      <c r="F4" s="55">
        <v>4069</v>
      </c>
      <c r="G4" s="55">
        <v>5667</v>
      </c>
      <c r="H4" s="55">
        <v>5235</v>
      </c>
      <c r="I4" s="55">
        <v>7129</v>
      </c>
      <c r="J4" s="55">
        <v>10310</v>
      </c>
      <c r="K4" s="55">
        <v>12326</v>
      </c>
      <c r="L4" s="55">
        <v>15189</v>
      </c>
      <c r="M4" s="55">
        <v>16616</v>
      </c>
      <c r="N4" s="55">
        <v>17388</v>
      </c>
    </row>
    <row r="5" spans="1:14" x14ac:dyDescent="0.3">
      <c r="A5" s="57" t="s">
        <v>212</v>
      </c>
      <c r="B5" s="64">
        <v>0.54990000000000006</v>
      </c>
      <c r="C5" s="64">
        <v>0.50570000000000004</v>
      </c>
      <c r="D5" s="64">
        <v>0.4501</v>
      </c>
      <c r="E5" s="64">
        <v>0.4521</v>
      </c>
      <c r="F5" s="64">
        <v>0.43959999999999999</v>
      </c>
      <c r="G5" s="64">
        <v>0.4516</v>
      </c>
      <c r="H5" s="64">
        <v>0.42849999999999999</v>
      </c>
      <c r="I5" s="64">
        <v>0.45729999999999998</v>
      </c>
      <c r="J5" s="64">
        <v>0.4753</v>
      </c>
      <c r="K5" s="64">
        <v>0.46160000000000001</v>
      </c>
      <c r="L5" s="64">
        <v>0.4451</v>
      </c>
      <c r="M5" s="64">
        <v>0.44800000000000001</v>
      </c>
      <c r="N5" s="54"/>
    </row>
    <row r="6" spans="1:14" x14ac:dyDescent="0.3">
      <c r="A6" s="56" t="s">
        <v>213</v>
      </c>
      <c r="B6" s="48">
        <v>1376</v>
      </c>
      <c r="C6" s="48">
        <v>1745</v>
      </c>
      <c r="D6" s="48">
        <v>1770</v>
      </c>
      <c r="E6" s="48">
        <v>1883</v>
      </c>
      <c r="F6" s="48">
        <v>2306</v>
      </c>
      <c r="G6" s="48">
        <v>3363</v>
      </c>
      <c r="H6" s="48">
        <v>2781</v>
      </c>
      <c r="I6" s="48">
        <v>4134</v>
      </c>
      <c r="J6" s="48">
        <v>6606</v>
      </c>
      <c r="K6" s="48">
        <v>7489</v>
      </c>
      <c r="L6" s="48">
        <v>8980</v>
      </c>
      <c r="M6" s="48">
        <v>9707</v>
      </c>
      <c r="N6" s="47"/>
    </row>
    <row r="7" spans="1:14" x14ac:dyDescent="0.3">
      <c r="A7" s="56" t="s">
        <v>214</v>
      </c>
      <c r="B7" s="47">
        <v>0</v>
      </c>
      <c r="C7" s="47">
        <v>-29</v>
      </c>
      <c r="D7" s="47">
        <v>-32</v>
      </c>
      <c r="E7" s="47">
        <v>-73</v>
      </c>
      <c r="F7" s="47">
        <v>-62</v>
      </c>
      <c r="G7" s="47">
        <v>-144</v>
      </c>
      <c r="H7" s="47">
        <v>-17</v>
      </c>
      <c r="I7" s="47">
        <v>-100</v>
      </c>
      <c r="J7" s="47">
        <v>-345</v>
      </c>
      <c r="K7" s="47">
        <v>-84</v>
      </c>
      <c r="L7" s="47">
        <v>-75</v>
      </c>
      <c r="M7" s="47">
        <v>9</v>
      </c>
      <c r="N7" s="47"/>
    </row>
    <row r="8" spans="1:14" x14ac:dyDescent="0.3">
      <c r="A8" s="56" t="s">
        <v>215</v>
      </c>
      <c r="B8" s="65">
        <v>8.3500000000000005E-2</v>
      </c>
      <c r="C8" s="65">
        <v>7.7499999999999999E-2</v>
      </c>
      <c r="D8" s="65">
        <v>8.0500000000000002E-2</v>
      </c>
      <c r="E8" s="65">
        <v>7.8600000000000003E-2</v>
      </c>
      <c r="F8" s="65">
        <v>7.5700000000000003E-2</v>
      </c>
      <c r="G8" s="65">
        <v>7.3599999999999999E-2</v>
      </c>
      <c r="H8" s="65">
        <v>8.2400000000000001E-2</v>
      </c>
      <c r="I8" s="65">
        <v>7.46E-2</v>
      </c>
      <c r="J8" s="65">
        <v>7.22E-2</v>
      </c>
      <c r="K8" s="65">
        <v>6.7799999999999999E-2</v>
      </c>
      <c r="L8" s="65">
        <v>6.5500000000000003E-2</v>
      </c>
      <c r="M8" s="65">
        <v>6.0199999999999997E-2</v>
      </c>
      <c r="N8" s="47"/>
    </row>
    <row r="9" spans="1:14" x14ac:dyDescent="0.3">
      <c r="A9" s="56" t="s">
        <v>216</v>
      </c>
      <c r="B9" s="65">
        <v>8.6599999999999996E-2</v>
      </c>
      <c r="C9" s="65">
        <v>9.5399999999999999E-2</v>
      </c>
      <c r="D9" s="65">
        <v>0.10920000000000001</v>
      </c>
      <c r="E9" s="65">
        <v>0.1157</v>
      </c>
      <c r="F9" s="65">
        <v>0.1142</v>
      </c>
      <c r="G9" s="65">
        <v>0.1138</v>
      </c>
      <c r="H9" s="65">
        <v>0.13800000000000001</v>
      </c>
      <c r="I9" s="65">
        <v>0.11509999999999999</v>
      </c>
      <c r="J9" s="65">
        <v>9.3799999999999994E-2</v>
      </c>
      <c r="K9" s="65">
        <v>9.0200000000000002E-2</v>
      </c>
      <c r="L9" s="65">
        <v>9.4299999999999995E-2</v>
      </c>
      <c r="M9" s="65">
        <v>0.10150000000000001</v>
      </c>
      <c r="N9" s="47"/>
    </row>
    <row r="10" spans="1:14" ht="15" customHeight="1" x14ac:dyDescent="0.3">
      <c r="A10" s="56" t="s">
        <v>217</v>
      </c>
      <c r="B10" s="65">
        <v>0.12529999999999999</v>
      </c>
      <c r="C10" s="65">
        <v>0.1321</v>
      </c>
      <c r="D10" s="65">
        <v>0.15060000000000001</v>
      </c>
      <c r="E10" s="65">
        <v>0.14419999999999999</v>
      </c>
      <c r="F10" s="65">
        <v>0.1676</v>
      </c>
      <c r="G10" s="65">
        <v>0.15590000000000001</v>
      </c>
      <c r="H10" s="65">
        <v>0.1628</v>
      </c>
      <c r="I10" s="65">
        <v>0.161</v>
      </c>
      <c r="J10" s="65">
        <v>0.1414</v>
      </c>
      <c r="K10" s="65">
        <v>0.1487</v>
      </c>
      <c r="L10" s="65">
        <v>0.15440000000000001</v>
      </c>
      <c r="M10" s="65">
        <v>0.1565</v>
      </c>
      <c r="N10" s="47"/>
    </row>
    <row r="11" spans="1:14" x14ac:dyDescent="0.3">
      <c r="A11" s="49" t="s">
        <v>218</v>
      </c>
      <c r="B11" s="58">
        <v>387</v>
      </c>
      <c r="C11" s="58">
        <v>642</v>
      </c>
      <c r="D11" s="58">
        <v>810</v>
      </c>
      <c r="E11" s="58">
        <v>838</v>
      </c>
      <c r="F11" s="50">
        <v>1036</v>
      </c>
      <c r="G11" s="50">
        <v>1462</v>
      </c>
      <c r="H11" s="50">
        <v>1215</v>
      </c>
      <c r="I11" s="50">
        <v>1694</v>
      </c>
      <c r="J11" s="50">
        <v>2863</v>
      </c>
      <c r="K11" s="50">
        <v>3717</v>
      </c>
      <c r="L11" s="50">
        <v>4818</v>
      </c>
      <c r="M11" s="50">
        <v>5070</v>
      </c>
      <c r="N11" s="50">
        <v>5305</v>
      </c>
    </row>
    <row r="12" spans="1:14" ht="15" customHeight="1" x14ac:dyDescent="0.3">
      <c r="A12" s="46" t="s">
        <v>219</v>
      </c>
      <c r="B12" s="13">
        <v>0.15</v>
      </c>
      <c r="C12" s="13">
        <v>0.19</v>
      </c>
      <c r="D12" s="13">
        <v>0.21</v>
      </c>
      <c r="E12" s="13">
        <v>0.21</v>
      </c>
      <c r="F12" s="13">
        <v>0.2</v>
      </c>
      <c r="G12" s="13">
        <v>0.21</v>
      </c>
      <c r="H12" s="13">
        <v>0.19</v>
      </c>
      <c r="I12" s="13">
        <v>0.19</v>
      </c>
      <c r="J12" s="13">
        <v>0.22</v>
      </c>
      <c r="K12" s="13">
        <v>0.23</v>
      </c>
      <c r="L12" s="13">
        <v>0.24</v>
      </c>
      <c r="M12" s="13">
        <v>0.23</v>
      </c>
      <c r="N12" s="13">
        <v>0.23</v>
      </c>
    </row>
    <row r="13" spans="1:14" x14ac:dyDescent="0.3">
      <c r="A13" s="49" t="s">
        <v>220</v>
      </c>
      <c r="B13" s="58">
        <v>14</v>
      </c>
      <c r="C13" s="58">
        <v>36</v>
      </c>
      <c r="D13" s="58">
        <v>27</v>
      </c>
      <c r="E13" s="58">
        <v>14</v>
      </c>
      <c r="F13" s="58">
        <v>6</v>
      </c>
      <c r="G13" s="58">
        <v>47</v>
      </c>
      <c r="H13" s="58">
        <v>-30</v>
      </c>
      <c r="I13" s="58">
        <v>51</v>
      </c>
      <c r="J13" s="58">
        <v>-18</v>
      </c>
      <c r="K13" s="58">
        <v>-5</v>
      </c>
      <c r="L13" s="58">
        <v>45</v>
      </c>
      <c r="M13" s="58">
        <v>352</v>
      </c>
      <c r="N13" s="58">
        <v>368</v>
      </c>
    </row>
    <row r="14" spans="1:14" x14ac:dyDescent="0.3">
      <c r="A14" s="51" t="s">
        <v>221</v>
      </c>
      <c r="B14" s="45">
        <v>0</v>
      </c>
      <c r="C14" s="45">
        <v>27</v>
      </c>
      <c r="D14" s="45">
        <v>-11</v>
      </c>
      <c r="E14" s="45">
        <v>3</v>
      </c>
      <c r="F14" s="45">
        <v>-19</v>
      </c>
      <c r="G14" s="45">
        <v>2</v>
      </c>
      <c r="H14" s="45">
        <v>-67</v>
      </c>
      <c r="I14" s="45">
        <v>-17</v>
      </c>
      <c r="J14" s="45">
        <v>-57</v>
      </c>
      <c r="K14" s="45">
        <v>-84</v>
      </c>
      <c r="L14" s="45">
        <v>-74</v>
      </c>
      <c r="M14" s="45">
        <v>84</v>
      </c>
      <c r="N14" s="45"/>
    </row>
    <row r="15" spans="1:14" x14ac:dyDescent="0.3">
      <c r="A15" s="51" t="s">
        <v>222</v>
      </c>
      <c r="B15" s="45">
        <v>15</v>
      </c>
      <c r="C15" s="45">
        <v>9</v>
      </c>
      <c r="D15" s="45">
        <v>38</v>
      </c>
      <c r="E15" s="45">
        <v>11</v>
      </c>
      <c r="F15" s="45">
        <v>25</v>
      </c>
      <c r="G15" s="45">
        <v>45</v>
      </c>
      <c r="H15" s="45">
        <v>37</v>
      </c>
      <c r="I15" s="45">
        <v>68</v>
      </c>
      <c r="J15" s="45">
        <v>38</v>
      </c>
      <c r="K15" s="45">
        <v>79</v>
      </c>
      <c r="L15" s="45">
        <v>119</v>
      </c>
      <c r="M15" s="45">
        <v>268</v>
      </c>
      <c r="N15" s="45"/>
    </row>
    <row r="16" spans="1:14" x14ac:dyDescent="0.3">
      <c r="A16" s="46" t="s">
        <v>55</v>
      </c>
      <c r="B16" s="47">
        <v>187</v>
      </c>
      <c r="C16" s="47">
        <v>170</v>
      </c>
      <c r="D16" s="47">
        <v>435</v>
      </c>
      <c r="E16" s="47">
        <v>215</v>
      </c>
      <c r="F16" s="47">
        <v>223</v>
      </c>
      <c r="G16" s="47">
        <v>324</v>
      </c>
      <c r="H16" s="47">
        <v>294</v>
      </c>
      <c r="I16" s="47">
        <v>207</v>
      </c>
      <c r="J16" s="47">
        <v>204</v>
      </c>
      <c r="K16" s="47">
        <v>292</v>
      </c>
      <c r="L16" s="47">
        <v>483</v>
      </c>
      <c r="M16" s="47">
        <v>196</v>
      </c>
      <c r="N16" s="47">
        <v>177</v>
      </c>
    </row>
    <row r="17" spans="1:14" ht="15" customHeight="1" x14ac:dyDescent="0.3">
      <c r="A17" s="44" t="s">
        <v>53</v>
      </c>
      <c r="B17" s="45">
        <v>210</v>
      </c>
      <c r="C17" s="45">
        <v>317</v>
      </c>
      <c r="D17" s="45">
        <v>322</v>
      </c>
      <c r="E17" s="45">
        <v>347</v>
      </c>
      <c r="F17" s="45">
        <v>385</v>
      </c>
      <c r="G17" s="45">
        <v>489</v>
      </c>
      <c r="H17" s="45">
        <v>529</v>
      </c>
      <c r="I17" s="45">
        <v>531</v>
      </c>
      <c r="J17" s="45">
        <v>617</v>
      </c>
      <c r="K17" s="45">
        <v>681</v>
      </c>
      <c r="L17" s="45">
        <v>947</v>
      </c>
      <c r="M17" s="52">
        <v>1216</v>
      </c>
      <c r="N17" s="52">
        <v>1301</v>
      </c>
    </row>
    <row r="18" spans="1:14" x14ac:dyDescent="0.3">
      <c r="A18" s="53" t="s">
        <v>223</v>
      </c>
      <c r="B18" s="54">
        <v>4</v>
      </c>
      <c r="C18" s="54">
        <v>191</v>
      </c>
      <c r="D18" s="54">
        <v>79</v>
      </c>
      <c r="E18" s="54">
        <v>291</v>
      </c>
      <c r="F18" s="54">
        <v>434</v>
      </c>
      <c r="G18" s="54">
        <v>696</v>
      </c>
      <c r="H18" s="54">
        <v>363</v>
      </c>
      <c r="I18" s="55">
        <v>1007</v>
      </c>
      <c r="J18" s="55">
        <v>2024</v>
      </c>
      <c r="K18" s="55">
        <v>2739</v>
      </c>
      <c r="L18" s="55">
        <v>3433</v>
      </c>
      <c r="M18" s="55">
        <v>4010</v>
      </c>
      <c r="N18" s="55">
        <v>4195</v>
      </c>
    </row>
    <row r="19" spans="1:14" ht="15" customHeight="1" x14ac:dyDescent="0.3">
      <c r="A19" s="44" t="s">
        <v>224</v>
      </c>
      <c r="B19" s="66">
        <v>6.58</v>
      </c>
      <c r="C19" s="66">
        <v>0.41</v>
      </c>
      <c r="D19" s="66">
        <v>0.39</v>
      </c>
      <c r="E19" s="66">
        <v>0.26</v>
      </c>
      <c r="F19" s="66">
        <v>0.31</v>
      </c>
      <c r="G19" s="66">
        <v>0.32</v>
      </c>
      <c r="H19" s="66">
        <v>0.01</v>
      </c>
      <c r="I19" s="66">
        <v>0.26</v>
      </c>
      <c r="J19" s="66">
        <v>0.23</v>
      </c>
      <c r="K19" s="66">
        <v>0.23</v>
      </c>
      <c r="L19" s="66">
        <v>0.23</v>
      </c>
      <c r="M19" s="66">
        <v>0.24</v>
      </c>
      <c r="N19" s="45"/>
    </row>
    <row r="20" spans="1:14" x14ac:dyDescent="0.3">
      <c r="A20" s="53" t="s">
        <v>225</v>
      </c>
      <c r="B20" s="54">
        <v>-20</v>
      </c>
      <c r="C20" s="54">
        <v>113</v>
      </c>
      <c r="D20" s="54">
        <v>48</v>
      </c>
      <c r="E20" s="54">
        <v>214</v>
      </c>
      <c r="F20" s="54">
        <v>300</v>
      </c>
      <c r="G20" s="54">
        <v>472</v>
      </c>
      <c r="H20" s="54">
        <v>357</v>
      </c>
      <c r="I20" s="54">
        <v>746</v>
      </c>
      <c r="J20" s="55">
        <v>1550</v>
      </c>
      <c r="K20" s="55">
        <v>2102</v>
      </c>
      <c r="L20" s="55">
        <v>2634</v>
      </c>
      <c r="M20" s="55">
        <v>3062</v>
      </c>
      <c r="N20" s="55">
        <v>3209</v>
      </c>
    </row>
    <row r="21" spans="1:14" x14ac:dyDescent="0.3">
      <c r="A21" s="56" t="s">
        <v>226</v>
      </c>
      <c r="B21" s="47">
        <v>1</v>
      </c>
      <c r="C21" s="47">
        <v>1</v>
      </c>
      <c r="D21" s="47">
        <v>0</v>
      </c>
      <c r="E21" s="47">
        <v>0</v>
      </c>
      <c r="F21" s="47">
        <v>0</v>
      </c>
      <c r="G21" s="47">
        <v>0</v>
      </c>
      <c r="H21" s="47">
        <v>0</v>
      </c>
      <c r="I21" s="47">
        <v>0</v>
      </c>
      <c r="J21" s="47">
        <v>0</v>
      </c>
      <c r="K21" s="47">
        <v>0</v>
      </c>
      <c r="L21" s="47">
        <v>0</v>
      </c>
      <c r="M21" s="47">
        <v>0</v>
      </c>
      <c r="N21" s="47"/>
    </row>
    <row r="22" spans="1:14" x14ac:dyDescent="0.3">
      <c r="A22" s="56" t="s">
        <v>227</v>
      </c>
      <c r="B22" s="47">
        <v>0</v>
      </c>
      <c r="C22" s="47">
        <v>0</v>
      </c>
      <c r="D22" s="47">
        <v>-6</v>
      </c>
      <c r="E22" s="47">
        <v>-4</v>
      </c>
      <c r="F22" s="47">
        <v>-7</v>
      </c>
      <c r="G22" s="47">
        <v>-3</v>
      </c>
      <c r="H22" s="47">
        <v>-28</v>
      </c>
      <c r="I22" s="47">
        <v>-52</v>
      </c>
      <c r="J22" s="47">
        <v>-53</v>
      </c>
      <c r="K22" s="47">
        <v>-46</v>
      </c>
      <c r="L22" s="47">
        <v>-40</v>
      </c>
      <c r="M22" s="47">
        <v>-26</v>
      </c>
      <c r="N22" s="47"/>
    </row>
    <row r="23" spans="1:14" x14ac:dyDescent="0.3">
      <c r="A23" s="56" t="s">
        <v>228</v>
      </c>
      <c r="B23" s="47">
        <v>0</v>
      </c>
      <c r="C23" s="47">
        <v>10</v>
      </c>
      <c r="D23" s="47">
        <v>-5</v>
      </c>
      <c r="E23" s="47">
        <v>2</v>
      </c>
      <c r="F23" s="47">
        <v>-13</v>
      </c>
      <c r="G23" s="47">
        <v>1</v>
      </c>
      <c r="H23" s="47">
        <v>-59</v>
      </c>
      <c r="I23" s="47">
        <v>-13</v>
      </c>
      <c r="J23" s="47">
        <v>-44</v>
      </c>
      <c r="K23" s="47">
        <v>-64</v>
      </c>
      <c r="L23" s="47">
        <v>-57</v>
      </c>
      <c r="M23" s="47">
        <v>104</v>
      </c>
      <c r="N23" s="47"/>
    </row>
    <row r="24" spans="1:14" x14ac:dyDescent="0.3">
      <c r="A24" s="56" t="s">
        <v>229</v>
      </c>
      <c r="B24" s="47">
        <v>-20</v>
      </c>
      <c r="C24" s="47">
        <v>103</v>
      </c>
      <c r="D24" s="47">
        <v>53</v>
      </c>
      <c r="E24" s="47">
        <v>212</v>
      </c>
      <c r="F24" s="47">
        <v>313</v>
      </c>
      <c r="G24" s="47">
        <v>471</v>
      </c>
      <c r="H24" s="47">
        <v>416</v>
      </c>
      <c r="I24" s="47">
        <v>759</v>
      </c>
      <c r="J24" s="48">
        <v>1594</v>
      </c>
      <c r="K24" s="48">
        <v>2166</v>
      </c>
      <c r="L24" s="48">
        <v>2691</v>
      </c>
      <c r="M24" s="48">
        <v>2958</v>
      </c>
      <c r="N24" s="47"/>
    </row>
    <row r="25" spans="1:14" x14ac:dyDescent="0.3">
      <c r="A25" s="56" t="s">
        <v>230</v>
      </c>
      <c r="B25" s="47">
        <v>-20</v>
      </c>
      <c r="C25" s="47">
        <v>103</v>
      </c>
      <c r="D25" s="47">
        <v>47</v>
      </c>
      <c r="E25" s="47">
        <v>208</v>
      </c>
      <c r="F25" s="47">
        <v>306</v>
      </c>
      <c r="G25" s="47">
        <v>468</v>
      </c>
      <c r="H25" s="47">
        <v>383</v>
      </c>
      <c r="I25" s="47">
        <v>706</v>
      </c>
      <c r="J25" s="48">
        <v>1540</v>
      </c>
      <c r="K25" s="48">
        <v>2119</v>
      </c>
      <c r="L25" s="48">
        <v>2651</v>
      </c>
      <c r="M25" s="48">
        <v>2934</v>
      </c>
      <c r="N25" s="47"/>
    </row>
    <row r="26" spans="1:14" x14ac:dyDescent="0.3">
      <c r="A26" s="56" t="s">
        <v>231</v>
      </c>
      <c r="B26" s="47">
        <v>-20</v>
      </c>
      <c r="C26" s="47">
        <v>113</v>
      </c>
      <c r="D26" s="47">
        <v>42</v>
      </c>
      <c r="E26" s="47">
        <v>210</v>
      </c>
      <c r="F26" s="47">
        <v>293</v>
      </c>
      <c r="G26" s="47">
        <v>469</v>
      </c>
      <c r="H26" s="47">
        <v>329</v>
      </c>
      <c r="I26" s="47">
        <v>694</v>
      </c>
      <c r="J26" s="48">
        <v>1497</v>
      </c>
      <c r="K26" s="48">
        <v>2056</v>
      </c>
      <c r="L26" s="48">
        <v>2595</v>
      </c>
      <c r="M26" s="48">
        <v>3036</v>
      </c>
      <c r="N26" s="47"/>
    </row>
    <row r="27" spans="1:14" x14ac:dyDescent="0.3">
      <c r="A27" s="56" t="s">
        <v>232</v>
      </c>
      <c r="B27" s="13">
        <v>0.52</v>
      </c>
      <c r="C27" s="13">
        <v>6.22</v>
      </c>
      <c r="D27" s="13">
        <v>-0.55000000000000004</v>
      </c>
      <c r="E27" s="13">
        <v>3.46</v>
      </c>
      <c r="F27" s="13">
        <v>0.47</v>
      </c>
      <c r="G27" s="13">
        <v>0.53</v>
      </c>
      <c r="H27" s="13">
        <v>-0.18</v>
      </c>
      <c r="I27" s="13">
        <v>0.84</v>
      </c>
      <c r="J27" s="13">
        <v>1.18</v>
      </c>
      <c r="K27" s="13">
        <v>0.38</v>
      </c>
      <c r="L27" s="13">
        <v>0.25</v>
      </c>
      <c r="M27" s="13">
        <v>0.11</v>
      </c>
      <c r="N27" s="47"/>
    </row>
    <row r="28" spans="1:14" x14ac:dyDescent="0.3">
      <c r="A28" s="44" t="s">
        <v>233</v>
      </c>
      <c r="B28" s="45">
        <v>-0.09</v>
      </c>
      <c r="C28" s="45">
        <v>0.5</v>
      </c>
      <c r="D28" s="45">
        <v>0.14000000000000001</v>
      </c>
      <c r="E28" s="45">
        <v>0.68</v>
      </c>
      <c r="F28" s="45">
        <v>0.95</v>
      </c>
      <c r="G28" s="45">
        <v>1.44</v>
      </c>
      <c r="H28" s="45">
        <v>1.01</v>
      </c>
      <c r="I28" s="45">
        <v>2.14</v>
      </c>
      <c r="J28" s="45">
        <v>4.6100000000000003</v>
      </c>
      <c r="K28" s="45">
        <v>6.33</v>
      </c>
      <c r="L28" s="45">
        <v>7.67</v>
      </c>
      <c r="M28" s="45">
        <v>8.98</v>
      </c>
      <c r="N28" s="45">
        <v>9.4</v>
      </c>
    </row>
    <row r="29" spans="1:14" x14ac:dyDescent="0.3">
      <c r="A29" s="46" t="s">
        <v>234</v>
      </c>
      <c r="B29" s="13">
        <v>0</v>
      </c>
      <c r="C29" s="13">
        <v>0</v>
      </c>
      <c r="D29" s="13">
        <v>0</v>
      </c>
      <c r="E29" s="13">
        <v>0.22</v>
      </c>
      <c r="F29" s="13">
        <v>0.16</v>
      </c>
      <c r="G29" s="13">
        <v>0.15</v>
      </c>
      <c r="H29" s="13">
        <v>0.22</v>
      </c>
      <c r="I29" s="13">
        <v>0.16</v>
      </c>
      <c r="J29" s="13">
        <v>0.15</v>
      </c>
      <c r="K29" s="13">
        <v>0.16</v>
      </c>
      <c r="L29" s="13">
        <v>0.13</v>
      </c>
      <c r="M29" s="13">
        <v>0.17</v>
      </c>
      <c r="N29" s="47"/>
    </row>
    <row r="30" spans="1:14" x14ac:dyDescent="0.3">
      <c r="I30" s="8">
        <f>I20*I29</f>
        <v>119.36</v>
      </c>
      <c r="J30" s="8">
        <f>J20*J29</f>
        <v>232.5</v>
      </c>
      <c r="K30" s="8">
        <f>K20*K29</f>
        <v>336.32</v>
      </c>
      <c r="L30" s="8">
        <f>L20*L29</f>
        <v>342.42</v>
      </c>
      <c r="M30" s="8">
        <f>M20*M29</f>
        <v>520.54000000000008</v>
      </c>
    </row>
    <row r="31" spans="1:14" x14ac:dyDescent="0.3">
      <c r="I31" s="8">
        <f>I29*I28*'Free Cash Flow Build'!I23</f>
        <v>0</v>
      </c>
    </row>
  </sheetData>
  <pageMargins left="0.7" right="0.7" top="0.75" bottom="0.75" header="0.511811023622047" footer="0.511811023622047"/>
  <pageSetup paperSize="9" orientation="portrait" horizontalDpi="300" verticalDpi="30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L41"/>
  <sheetViews>
    <sheetView showGridLines="0" zoomScaleNormal="100" workbookViewId="0">
      <selection activeCell="K24" sqref="K24"/>
    </sheetView>
  </sheetViews>
  <sheetFormatPr defaultColWidth="8.6640625" defaultRowHeight="14.4" x14ac:dyDescent="0.3"/>
  <cols>
    <col min="1" max="1" width="30" style="8" customWidth="1"/>
    <col min="2" max="12" width="12" style="8" customWidth="1"/>
  </cols>
  <sheetData>
    <row r="1" spans="1:12" x14ac:dyDescent="0.3">
      <c r="A1" s="67" t="s">
        <v>235</v>
      </c>
      <c r="B1" s="67" t="s">
        <v>236</v>
      </c>
      <c r="C1" s="67" t="s">
        <v>237</v>
      </c>
      <c r="D1" s="67" t="s">
        <v>238</v>
      </c>
      <c r="E1" s="67" t="s">
        <v>239</v>
      </c>
      <c r="F1" s="67" t="s">
        <v>240</v>
      </c>
      <c r="G1" s="67" t="s">
        <v>241</v>
      </c>
      <c r="H1" s="67" t="s">
        <v>242</v>
      </c>
      <c r="I1" s="67" t="s">
        <v>243</v>
      </c>
      <c r="J1" s="67" t="s">
        <v>244</v>
      </c>
      <c r="K1" s="67" t="s">
        <v>245</v>
      </c>
      <c r="L1" s="67" t="s">
        <v>246</v>
      </c>
    </row>
    <row r="2" spans="1:12" x14ac:dyDescent="0.3">
      <c r="A2" s="67" t="s">
        <v>247</v>
      </c>
    </row>
    <row r="3" spans="1:12" x14ac:dyDescent="0.3">
      <c r="A3" s="8" t="s">
        <v>48</v>
      </c>
      <c r="B3" s="38">
        <v>3861.2</v>
      </c>
      <c r="C3" s="38">
        <v>4003.5</v>
      </c>
      <c r="D3" s="38">
        <v>5105.3</v>
      </c>
      <c r="E3" s="38">
        <v>7129.6</v>
      </c>
      <c r="F3" s="38">
        <v>6450.1</v>
      </c>
      <c r="G3" s="38">
        <v>8823.2000000000007</v>
      </c>
      <c r="H3" s="38">
        <v>13173.1</v>
      </c>
      <c r="I3" s="38">
        <v>16042.6</v>
      </c>
      <c r="J3" s="38">
        <v>20007.7</v>
      </c>
      <c r="K3" s="38">
        <v>21685.4</v>
      </c>
      <c r="L3" s="38">
        <v>22692.6</v>
      </c>
    </row>
    <row r="4" spans="1:12" x14ac:dyDescent="0.3">
      <c r="A4" s="8" t="s">
        <v>120</v>
      </c>
      <c r="B4" s="38" t="s">
        <v>115</v>
      </c>
      <c r="C4" s="38" t="s">
        <v>248</v>
      </c>
      <c r="D4" s="38" t="s">
        <v>249</v>
      </c>
      <c r="E4" s="38" t="s">
        <v>250</v>
      </c>
      <c r="F4" s="38" t="s">
        <v>251</v>
      </c>
      <c r="G4" s="38" t="s">
        <v>252</v>
      </c>
      <c r="H4" s="38" t="s">
        <v>253</v>
      </c>
      <c r="I4" s="38" t="s">
        <v>254</v>
      </c>
      <c r="J4" s="38" t="s">
        <v>255</v>
      </c>
      <c r="K4" s="38" t="s">
        <v>256</v>
      </c>
      <c r="L4" s="38" t="s">
        <v>257</v>
      </c>
    </row>
    <row r="5" spans="1:12" x14ac:dyDescent="0.3">
      <c r="B5" s="38"/>
      <c r="C5" s="38"/>
      <c r="D5" s="38"/>
      <c r="E5" s="38"/>
      <c r="F5" s="38"/>
      <c r="G5" s="38"/>
      <c r="H5" s="38"/>
      <c r="I5" s="38"/>
      <c r="J5" s="38"/>
      <c r="K5" s="38"/>
      <c r="L5" s="38"/>
    </row>
    <row r="6" spans="1:12" x14ac:dyDescent="0.3">
      <c r="A6" s="8" t="s">
        <v>258</v>
      </c>
      <c r="B6" s="38">
        <v>2470.1999999999998</v>
      </c>
      <c r="C6" s="38">
        <v>2587.8000000000002</v>
      </c>
      <c r="D6" s="38">
        <v>3213.8</v>
      </c>
      <c r="E6" s="38">
        <v>4555.5</v>
      </c>
      <c r="F6" s="38">
        <v>4185.3999999999996</v>
      </c>
      <c r="G6" s="38">
        <v>5708.4</v>
      </c>
      <c r="H6" s="38">
        <v>8447.6</v>
      </c>
      <c r="I6" s="38">
        <v>9939.5</v>
      </c>
      <c r="J6" s="38">
        <v>12100.6</v>
      </c>
      <c r="K6" s="38">
        <v>13222.2</v>
      </c>
      <c r="L6" s="38">
        <v>17387.7</v>
      </c>
    </row>
    <row r="7" spans="1:12" x14ac:dyDescent="0.3">
      <c r="A7" s="8" t="s">
        <v>259</v>
      </c>
      <c r="B7" s="38" t="s">
        <v>260</v>
      </c>
      <c r="C7" s="38" t="s">
        <v>261</v>
      </c>
      <c r="D7" s="38" t="s">
        <v>262</v>
      </c>
      <c r="E7" s="38" t="s">
        <v>263</v>
      </c>
      <c r="F7" s="38" t="s">
        <v>264</v>
      </c>
      <c r="G7" s="38" t="s">
        <v>265</v>
      </c>
      <c r="H7" s="38" t="s">
        <v>266</v>
      </c>
      <c r="I7" s="38" t="s">
        <v>267</v>
      </c>
      <c r="J7" s="38" t="s">
        <v>268</v>
      </c>
      <c r="K7" s="38" t="s">
        <v>269</v>
      </c>
      <c r="L7" s="38" t="s">
        <v>270</v>
      </c>
    </row>
    <row r="8" spans="1:12" x14ac:dyDescent="0.3">
      <c r="B8" s="38"/>
      <c r="C8" s="38"/>
      <c r="D8" s="38"/>
      <c r="E8" s="38"/>
      <c r="F8" s="38"/>
      <c r="G8" s="38"/>
      <c r="H8" s="38"/>
      <c r="I8" s="38"/>
      <c r="J8" s="38"/>
      <c r="K8" s="38"/>
      <c r="L8" s="38"/>
    </row>
    <row r="9" spans="1:12" x14ac:dyDescent="0.3">
      <c r="A9" s="8" t="s">
        <v>271</v>
      </c>
      <c r="B9" s="38">
        <v>1391</v>
      </c>
      <c r="C9" s="38">
        <v>1415.8</v>
      </c>
      <c r="D9" s="38">
        <v>1891.5</v>
      </c>
      <c r="E9" s="38">
        <v>2574.1</v>
      </c>
      <c r="F9" s="38">
        <v>2264.8000000000002</v>
      </c>
      <c r="G9" s="38">
        <v>3114.9</v>
      </c>
      <c r="H9" s="38">
        <v>4725.5</v>
      </c>
      <c r="I9" s="38">
        <v>6103.1</v>
      </c>
      <c r="J9" s="38">
        <v>7907</v>
      </c>
      <c r="K9" s="38">
        <v>8463.2000000000007</v>
      </c>
      <c r="L9" s="38">
        <v>5304.9</v>
      </c>
    </row>
    <row r="10" spans="1:12" x14ac:dyDescent="0.3">
      <c r="A10" s="8" t="s">
        <v>272</v>
      </c>
      <c r="B10" s="38" t="s">
        <v>273</v>
      </c>
      <c r="C10" s="38" t="s">
        <v>274</v>
      </c>
      <c r="D10" s="38" t="s">
        <v>275</v>
      </c>
      <c r="E10" s="38" t="s">
        <v>276</v>
      </c>
      <c r="F10" s="38" t="s">
        <v>277</v>
      </c>
      <c r="G10" s="38" t="s">
        <v>278</v>
      </c>
      <c r="H10" s="38" t="s">
        <v>279</v>
      </c>
      <c r="I10" s="38" t="s">
        <v>280</v>
      </c>
      <c r="J10" s="38" t="s">
        <v>281</v>
      </c>
      <c r="K10" s="38" t="s">
        <v>282</v>
      </c>
      <c r="L10" s="38" t="s">
        <v>283</v>
      </c>
    </row>
    <row r="11" spans="1:12" x14ac:dyDescent="0.3">
      <c r="B11" s="38"/>
      <c r="C11" s="38"/>
      <c r="D11" s="38"/>
      <c r="E11" s="38"/>
      <c r="F11" s="38"/>
      <c r="G11" s="38"/>
      <c r="H11" s="38"/>
      <c r="I11" s="38"/>
      <c r="J11" s="38"/>
      <c r="K11" s="38"/>
      <c r="L11" s="38"/>
    </row>
    <row r="12" spans="1:12" x14ac:dyDescent="0.3">
      <c r="A12" s="8" t="s">
        <v>284</v>
      </c>
      <c r="B12" s="38">
        <v>581.5</v>
      </c>
      <c r="C12" s="38">
        <v>577.4</v>
      </c>
      <c r="D12" s="38">
        <v>855.7</v>
      </c>
      <c r="E12" s="38">
        <v>1111.8</v>
      </c>
      <c r="F12" s="38">
        <v>1049.8</v>
      </c>
      <c r="G12" s="38">
        <v>1420.9</v>
      </c>
      <c r="H12" s="38">
        <v>1862.5</v>
      </c>
      <c r="I12" s="38">
        <v>2386.3000000000002</v>
      </c>
      <c r="J12" s="38">
        <v>3088.7</v>
      </c>
      <c r="K12" s="38">
        <v>3393.4</v>
      </c>
      <c r="L12" s="38" t="s">
        <v>115</v>
      </c>
    </row>
    <row r="13" spans="1:12" x14ac:dyDescent="0.3">
      <c r="A13" s="8" t="s">
        <v>285</v>
      </c>
      <c r="B13" s="38" t="s">
        <v>286</v>
      </c>
      <c r="C13" s="38" t="s">
        <v>287</v>
      </c>
      <c r="D13" s="38" t="s">
        <v>288</v>
      </c>
      <c r="E13" s="38" t="s">
        <v>289</v>
      </c>
      <c r="F13" s="38" t="s">
        <v>290</v>
      </c>
      <c r="G13" s="38" t="s">
        <v>291</v>
      </c>
      <c r="H13" s="38" t="s">
        <v>292</v>
      </c>
      <c r="I13" s="38" t="s">
        <v>293</v>
      </c>
      <c r="J13" s="38" t="s">
        <v>294</v>
      </c>
      <c r="K13" s="38" t="s">
        <v>295</v>
      </c>
      <c r="L13" s="38" t="s">
        <v>296</v>
      </c>
    </row>
    <row r="14" spans="1:12" x14ac:dyDescent="0.3">
      <c r="B14" s="38"/>
      <c r="C14" s="38"/>
      <c r="D14" s="38"/>
      <c r="E14" s="38"/>
      <c r="F14" s="38"/>
      <c r="G14" s="38"/>
      <c r="H14" s="38"/>
      <c r="I14" s="38"/>
      <c r="J14" s="38"/>
      <c r="K14" s="38"/>
      <c r="L14" s="38"/>
    </row>
    <row r="15" spans="1:12" x14ac:dyDescent="0.3">
      <c r="A15" s="8" t="s">
        <v>52</v>
      </c>
      <c r="B15" s="38">
        <v>809.5</v>
      </c>
      <c r="C15" s="38">
        <v>838.3</v>
      </c>
      <c r="D15" s="38">
        <v>1035.8</v>
      </c>
      <c r="E15" s="38">
        <v>1462.3</v>
      </c>
      <c r="F15" s="38">
        <v>1215</v>
      </c>
      <c r="G15" s="38">
        <v>1694</v>
      </c>
      <c r="H15" s="38">
        <v>2863</v>
      </c>
      <c r="I15" s="38">
        <v>3716.7</v>
      </c>
      <c r="J15" s="38">
        <v>4818.3</v>
      </c>
      <c r="K15" s="38">
        <v>5069.7</v>
      </c>
      <c r="L15" s="38">
        <v>5304.9</v>
      </c>
    </row>
    <row r="16" spans="1:12" x14ac:dyDescent="0.3">
      <c r="A16" s="8" t="s">
        <v>297</v>
      </c>
      <c r="B16" s="38" t="s">
        <v>298</v>
      </c>
      <c r="C16" s="38" t="s">
        <v>299</v>
      </c>
      <c r="D16" s="38" t="s">
        <v>300</v>
      </c>
      <c r="E16" s="38" t="s">
        <v>301</v>
      </c>
      <c r="F16" s="38" t="s">
        <v>302</v>
      </c>
      <c r="G16" s="38" t="s">
        <v>303</v>
      </c>
      <c r="H16" s="38" t="s">
        <v>304</v>
      </c>
      <c r="I16" s="38" t="s">
        <v>305</v>
      </c>
      <c r="J16" s="38" t="s">
        <v>306</v>
      </c>
      <c r="K16" s="38" t="s">
        <v>283</v>
      </c>
      <c r="L16" s="38" t="s">
        <v>283</v>
      </c>
    </row>
    <row r="17" spans="1:12" x14ac:dyDescent="0.3">
      <c r="B17" s="38"/>
      <c r="C17" s="38"/>
      <c r="D17" s="38"/>
      <c r="E17" s="38"/>
      <c r="F17" s="38"/>
      <c r="G17" s="38"/>
      <c r="H17" s="38"/>
      <c r="I17" s="38"/>
      <c r="J17" s="38"/>
      <c r="K17" s="38"/>
      <c r="L17" s="38"/>
    </row>
    <row r="18" spans="1:12" x14ac:dyDescent="0.3">
      <c r="A18" s="8" t="s">
        <v>55</v>
      </c>
      <c r="B18" s="38">
        <v>434.7</v>
      </c>
      <c r="C18" s="38">
        <v>214.6</v>
      </c>
      <c r="D18" s="38">
        <v>222.8</v>
      </c>
      <c r="E18" s="38">
        <v>324.3</v>
      </c>
      <c r="F18" s="38">
        <v>293.7</v>
      </c>
      <c r="G18" s="38">
        <v>207</v>
      </c>
      <c r="H18" s="38">
        <v>204.1</v>
      </c>
      <c r="I18" s="38">
        <v>291.60000000000002</v>
      </c>
      <c r="J18" s="38">
        <v>482.9</v>
      </c>
      <c r="K18" s="38">
        <v>196</v>
      </c>
      <c r="L18" s="38">
        <v>177</v>
      </c>
    </row>
    <row r="19" spans="1:12" x14ac:dyDescent="0.3">
      <c r="A19" s="8" t="s">
        <v>307</v>
      </c>
      <c r="B19" s="38" t="s">
        <v>308</v>
      </c>
      <c r="C19" s="38" t="s">
        <v>309</v>
      </c>
      <c r="D19" s="38" t="s">
        <v>310</v>
      </c>
      <c r="E19" s="38" t="s">
        <v>311</v>
      </c>
      <c r="F19" s="38" t="s">
        <v>311</v>
      </c>
      <c r="G19" s="38" t="s">
        <v>312</v>
      </c>
      <c r="H19" s="38" t="s">
        <v>313</v>
      </c>
      <c r="I19" s="38" t="s">
        <v>314</v>
      </c>
      <c r="J19" s="38" t="s">
        <v>315</v>
      </c>
      <c r="K19" s="38" t="s">
        <v>316</v>
      </c>
      <c r="L19" s="38" t="s">
        <v>317</v>
      </c>
    </row>
    <row r="20" spans="1:12" x14ac:dyDescent="0.3">
      <c r="B20" s="38"/>
      <c r="C20" s="38"/>
      <c r="D20" s="38"/>
      <c r="E20" s="38"/>
      <c r="F20" s="38"/>
      <c r="G20" s="38"/>
      <c r="H20" s="38"/>
      <c r="I20" s="38"/>
      <c r="J20" s="38"/>
      <c r="K20" s="38"/>
      <c r="L20" s="38"/>
    </row>
    <row r="21" spans="1:12" x14ac:dyDescent="0.3">
      <c r="A21" s="8" t="s">
        <v>53</v>
      </c>
      <c r="B21" s="38">
        <v>322.2</v>
      </c>
      <c r="C21" s="38">
        <v>346.6</v>
      </c>
      <c r="D21" s="38">
        <v>385.1</v>
      </c>
      <c r="E21" s="38">
        <v>488.6</v>
      </c>
      <c r="F21" s="38">
        <v>528.70000000000005</v>
      </c>
      <c r="G21" s="38">
        <v>531.29999999999995</v>
      </c>
      <c r="H21" s="38">
        <v>617.20000000000005</v>
      </c>
      <c r="I21" s="38">
        <v>680.9</v>
      </c>
      <c r="J21" s="38">
        <v>947.4</v>
      </c>
      <c r="K21" s="38">
        <v>1216.5</v>
      </c>
      <c r="L21" s="38">
        <v>1300.7</v>
      </c>
    </row>
    <row r="22" spans="1:12" x14ac:dyDescent="0.3">
      <c r="A22" s="8" t="s">
        <v>132</v>
      </c>
      <c r="B22" s="38" t="s">
        <v>318</v>
      </c>
      <c r="C22" s="38" t="s">
        <v>319</v>
      </c>
      <c r="D22" s="38" t="s">
        <v>320</v>
      </c>
      <c r="E22" s="38" t="s">
        <v>321</v>
      </c>
      <c r="F22" s="38" t="s">
        <v>322</v>
      </c>
      <c r="G22" s="38" t="s">
        <v>323</v>
      </c>
      <c r="H22" s="38" t="s">
        <v>324</v>
      </c>
      <c r="I22" s="38" t="s">
        <v>325</v>
      </c>
      <c r="J22" s="38" t="s">
        <v>326</v>
      </c>
      <c r="K22" s="38" t="s">
        <v>327</v>
      </c>
      <c r="L22" s="38" t="s">
        <v>328</v>
      </c>
    </row>
    <row r="23" spans="1:12" x14ac:dyDescent="0.3">
      <c r="B23" s="38"/>
      <c r="C23" s="38"/>
      <c r="D23" s="38"/>
      <c r="E23" s="38"/>
      <c r="F23" s="38"/>
      <c r="G23" s="38"/>
      <c r="H23" s="38"/>
      <c r="I23" s="38"/>
      <c r="J23" s="38"/>
      <c r="K23" s="38"/>
      <c r="L23" s="38"/>
    </row>
    <row r="24" spans="1:12" x14ac:dyDescent="0.3">
      <c r="A24" s="8" t="s">
        <v>329</v>
      </c>
      <c r="B24" s="38">
        <v>52.6</v>
      </c>
      <c r="C24" s="38">
        <v>277.10000000000002</v>
      </c>
      <c r="D24" s="38">
        <v>427.9</v>
      </c>
      <c r="E24" s="38">
        <v>649.4</v>
      </c>
      <c r="F24" s="38">
        <v>392.5</v>
      </c>
      <c r="G24" s="38">
        <v>955.7</v>
      </c>
      <c r="H24" s="38">
        <v>2041.7</v>
      </c>
      <c r="I24" s="38">
        <v>2744.2</v>
      </c>
      <c r="J24" s="38">
        <v>3388</v>
      </c>
      <c r="K24" s="38">
        <v>3657.3</v>
      </c>
      <c r="L24" s="38">
        <v>3827.2</v>
      </c>
    </row>
    <row r="25" spans="1:12" x14ac:dyDescent="0.3">
      <c r="A25" s="8" t="s">
        <v>330</v>
      </c>
      <c r="B25" s="38" t="s">
        <v>331</v>
      </c>
      <c r="C25" s="38" t="s">
        <v>332</v>
      </c>
      <c r="D25" s="38" t="s">
        <v>333</v>
      </c>
      <c r="E25" s="38" t="s">
        <v>334</v>
      </c>
      <c r="F25" s="38" t="s">
        <v>335</v>
      </c>
      <c r="G25" s="38" t="s">
        <v>336</v>
      </c>
      <c r="H25" s="38" t="s">
        <v>337</v>
      </c>
      <c r="I25" s="38" t="s">
        <v>338</v>
      </c>
      <c r="J25" s="38" t="s">
        <v>339</v>
      </c>
      <c r="K25" s="38" t="s">
        <v>340</v>
      </c>
      <c r="L25" s="38" t="s">
        <v>340</v>
      </c>
    </row>
    <row r="26" spans="1:12" x14ac:dyDescent="0.3">
      <c r="B26" s="38"/>
      <c r="C26" s="38"/>
      <c r="D26" s="38"/>
      <c r="E26" s="38"/>
      <c r="F26" s="38"/>
      <c r="G26" s="38"/>
      <c r="H26" s="38"/>
      <c r="I26" s="38"/>
      <c r="J26" s="38"/>
      <c r="K26" s="38"/>
      <c r="L26" s="38"/>
    </row>
    <row r="27" spans="1:12" x14ac:dyDescent="0.3">
      <c r="A27" s="8" t="s">
        <v>57</v>
      </c>
      <c r="B27" s="38">
        <v>31.3</v>
      </c>
      <c r="C27" s="38">
        <v>76.900000000000006</v>
      </c>
      <c r="D27" s="38">
        <v>133.9</v>
      </c>
      <c r="E27" s="38">
        <v>224.1</v>
      </c>
      <c r="F27" s="38">
        <v>5.2</v>
      </c>
      <c r="G27" s="38">
        <v>260.60000000000002</v>
      </c>
      <c r="H27" s="38">
        <v>473.5</v>
      </c>
      <c r="I27" s="38">
        <v>637.6</v>
      </c>
      <c r="J27" s="38">
        <v>798.8</v>
      </c>
      <c r="K27" s="38">
        <v>947.6</v>
      </c>
      <c r="L27" s="38">
        <v>985.6</v>
      </c>
    </row>
    <row r="28" spans="1:12" x14ac:dyDescent="0.3">
      <c r="A28" s="8" t="s">
        <v>341</v>
      </c>
      <c r="B28" s="38" t="s">
        <v>342</v>
      </c>
      <c r="C28" s="38" t="s">
        <v>343</v>
      </c>
      <c r="D28" s="38" t="s">
        <v>344</v>
      </c>
      <c r="E28" s="38" t="s">
        <v>345</v>
      </c>
      <c r="F28" s="38" t="s">
        <v>346</v>
      </c>
      <c r="G28" s="38" t="s">
        <v>347</v>
      </c>
      <c r="H28" s="38" t="s">
        <v>348</v>
      </c>
      <c r="I28" s="38" t="s">
        <v>349</v>
      </c>
      <c r="J28" s="38" t="s">
        <v>350</v>
      </c>
      <c r="K28" s="38" t="s">
        <v>351</v>
      </c>
      <c r="L28" s="38" t="s">
        <v>352</v>
      </c>
    </row>
    <row r="29" spans="1:12" x14ac:dyDescent="0.3">
      <c r="B29" s="38"/>
      <c r="C29" s="38"/>
      <c r="D29" s="38"/>
      <c r="E29" s="38"/>
      <c r="F29" s="38"/>
      <c r="G29" s="38"/>
      <c r="H29" s="38"/>
      <c r="I29" s="38"/>
      <c r="J29" s="38"/>
      <c r="K29" s="38"/>
      <c r="L29" s="38"/>
    </row>
    <row r="30" spans="1:12" x14ac:dyDescent="0.3">
      <c r="A30" s="8" t="s">
        <v>353</v>
      </c>
      <c r="B30" s="38">
        <v>21.3</v>
      </c>
      <c r="C30" s="38">
        <v>200.2</v>
      </c>
      <c r="D30" s="38">
        <v>294</v>
      </c>
      <c r="E30" s="38">
        <v>425.3</v>
      </c>
      <c r="F30" s="38">
        <v>387.3</v>
      </c>
      <c r="G30" s="38">
        <v>695.2</v>
      </c>
      <c r="H30" s="38">
        <v>1568.2</v>
      </c>
      <c r="I30" s="38">
        <v>2106.6999999999998</v>
      </c>
      <c r="J30" s="38">
        <v>2589.1999999999998</v>
      </c>
      <c r="K30" s="38">
        <v>2709.7</v>
      </c>
      <c r="L30" s="38">
        <v>2841.6</v>
      </c>
    </row>
    <row r="31" spans="1:12" x14ac:dyDescent="0.3">
      <c r="A31" s="8" t="s">
        <v>354</v>
      </c>
      <c r="B31" s="38" t="s">
        <v>355</v>
      </c>
      <c r="C31" s="38" t="s">
        <v>356</v>
      </c>
      <c r="D31" s="38" t="s">
        <v>357</v>
      </c>
      <c r="E31" s="38" t="s">
        <v>358</v>
      </c>
      <c r="F31" s="38" t="s">
        <v>359</v>
      </c>
      <c r="G31" s="38" t="s">
        <v>360</v>
      </c>
      <c r="H31" s="38" t="s">
        <v>361</v>
      </c>
      <c r="I31" s="38" t="s">
        <v>362</v>
      </c>
      <c r="J31" s="38" t="s">
        <v>363</v>
      </c>
      <c r="K31" s="38" t="s">
        <v>364</v>
      </c>
      <c r="L31" s="38" t="s">
        <v>365</v>
      </c>
    </row>
    <row r="32" spans="1:12" x14ac:dyDescent="0.3">
      <c r="B32" s="38"/>
      <c r="C32" s="38"/>
      <c r="D32" s="38"/>
      <c r="E32" s="38"/>
      <c r="F32" s="38"/>
      <c r="G32" s="38"/>
      <c r="H32" s="38"/>
      <c r="I32" s="38"/>
      <c r="J32" s="38"/>
      <c r="K32" s="38"/>
      <c r="L32" s="38"/>
    </row>
    <row r="33" spans="1:12" x14ac:dyDescent="0.3">
      <c r="A33" s="8" t="s">
        <v>366</v>
      </c>
      <c r="B33" s="38">
        <v>307.67</v>
      </c>
      <c r="C33" s="38">
        <v>308.14999999999998</v>
      </c>
      <c r="D33" s="38">
        <v>308.20999999999998</v>
      </c>
      <c r="E33" s="38">
        <v>324.77</v>
      </c>
      <c r="F33" s="38">
        <v>324.77</v>
      </c>
      <c r="G33" s="38">
        <v>324.77999999999997</v>
      </c>
      <c r="H33" s="38">
        <v>324.77999999999997</v>
      </c>
      <c r="I33" s="38">
        <v>324.8</v>
      </c>
      <c r="J33" s="38">
        <v>338.15</v>
      </c>
      <c r="K33" s="38">
        <v>338.2</v>
      </c>
      <c r="L33" s="38">
        <v>338.2</v>
      </c>
    </row>
    <row r="34" spans="1:12" x14ac:dyDescent="0.3">
      <c r="B34" s="38"/>
      <c r="C34" s="38"/>
      <c r="D34" s="38"/>
      <c r="E34" s="38"/>
      <c r="F34" s="38"/>
      <c r="G34" s="38"/>
      <c r="H34" s="38"/>
      <c r="I34" s="38"/>
      <c r="J34" s="38"/>
      <c r="K34" s="38"/>
      <c r="L34" s="38"/>
    </row>
    <row r="35" spans="1:12" x14ac:dyDescent="0.3">
      <c r="A35" s="8" t="s">
        <v>367</v>
      </c>
      <c r="B35" s="38">
        <v>7.0000000000000007E-2</v>
      </c>
      <c r="C35" s="38">
        <v>0.65</v>
      </c>
      <c r="D35" s="38">
        <v>0.95</v>
      </c>
      <c r="E35" s="38">
        <v>1.31</v>
      </c>
      <c r="F35" s="38">
        <v>1.19</v>
      </c>
      <c r="G35" s="38">
        <v>2.14</v>
      </c>
      <c r="H35" s="38">
        <v>4.83</v>
      </c>
      <c r="I35" s="38">
        <v>6.49</v>
      </c>
      <c r="J35" s="38">
        <v>7.66</v>
      </c>
      <c r="K35" s="38">
        <v>8.01</v>
      </c>
      <c r="L35" s="38">
        <v>8.4</v>
      </c>
    </row>
    <row r="36" spans="1:12" x14ac:dyDescent="0.3">
      <c r="A36" s="8" t="s">
        <v>368</v>
      </c>
      <c r="B36" s="38" t="s">
        <v>115</v>
      </c>
      <c r="C36" s="38" t="s">
        <v>369</v>
      </c>
      <c r="D36" s="38" t="s">
        <v>370</v>
      </c>
      <c r="E36" s="38" t="s">
        <v>371</v>
      </c>
      <c r="F36" s="38" t="s">
        <v>372</v>
      </c>
      <c r="G36" s="38" t="s">
        <v>373</v>
      </c>
      <c r="H36" s="38" t="s">
        <v>374</v>
      </c>
      <c r="I36" s="38" t="s">
        <v>375</v>
      </c>
      <c r="J36" s="38" t="s">
        <v>376</v>
      </c>
      <c r="K36" s="38" t="s">
        <v>257</v>
      </c>
      <c r="L36" s="38" t="s">
        <v>377</v>
      </c>
    </row>
    <row r="37" spans="1:12" x14ac:dyDescent="0.3">
      <c r="B37" s="38"/>
      <c r="C37" s="38"/>
      <c r="D37" s="38"/>
      <c r="E37" s="38"/>
      <c r="F37" s="38"/>
      <c r="G37" s="38"/>
      <c r="H37" s="38"/>
      <c r="I37" s="38"/>
      <c r="J37" s="38"/>
      <c r="K37" s="38"/>
      <c r="L37" s="38"/>
    </row>
    <row r="38" spans="1:12" x14ac:dyDescent="0.3">
      <c r="A38" s="8" t="s">
        <v>378</v>
      </c>
      <c r="B38" s="38" t="s">
        <v>115</v>
      </c>
      <c r="C38" s="38">
        <v>0.15</v>
      </c>
      <c r="D38" s="38">
        <v>0.15</v>
      </c>
      <c r="E38" s="38">
        <v>0.22</v>
      </c>
      <c r="F38" s="38">
        <v>0.22</v>
      </c>
      <c r="G38" s="38">
        <v>0.33</v>
      </c>
      <c r="H38" s="38">
        <v>0.7</v>
      </c>
      <c r="I38" s="38">
        <v>1</v>
      </c>
      <c r="J38" s="38">
        <v>1</v>
      </c>
      <c r="K38" s="38">
        <v>1.5</v>
      </c>
      <c r="L38" s="38" t="s">
        <v>115</v>
      </c>
    </row>
    <row r="39" spans="1:12" x14ac:dyDescent="0.3">
      <c r="A39" s="8" t="s">
        <v>379</v>
      </c>
      <c r="B39" s="38" t="s">
        <v>296</v>
      </c>
      <c r="C39" s="38" t="s">
        <v>380</v>
      </c>
      <c r="D39" s="38" t="s">
        <v>381</v>
      </c>
      <c r="E39" s="38" t="s">
        <v>382</v>
      </c>
      <c r="F39" s="38" t="s">
        <v>383</v>
      </c>
      <c r="G39" s="38" t="s">
        <v>384</v>
      </c>
      <c r="H39" s="38" t="s">
        <v>385</v>
      </c>
      <c r="I39" s="38" t="s">
        <v>386</v>
      </c>
      <c r="J39" s="38" t="s">
        <v>387</v>
      </c>
      <c r="K39" s="38" t="s">
        <v>388</v>
      </c>
      <c r="L39" s="38" t="s">
        <v>115</v>
      </c>
    </row>
    <row r="40" spans="1:12" x14ac:dyDescent="0.3">
      <c r="B40" s="38"/>
      <c r="C40" s="38"/>
      <c r="D40" s="38"/>
      <c r="E40" s="38"/>
      <c r="F40" s="38"/>
      <c r="G40" s="38"/>
      <c r="H40" s="38"/>
      <c r="I40" s="38"/>
      <c r="J40" s="38"/>
      <c r="K40" s="38"/>
      <c r="L40" s="38"/>
    </row>
    <row r="41" spans="1:12" x14ac:dyDescent="0.3">
      <c r="A41" s="8" t="s">
        <v>135</v>
      </c>
      <c r="B41" s="38" t="s">
        <v>389</v>
      </c>
      <c r="C41" s="38" t="s">
        <v>390</v>
      </c>
      <c r="D41" s="38" t="s">
        <v>391</v>
      </c>
      <c r="E41" s="38" t="s">
        <v>392</v>
      </c>
      <c r="F41" s="38" t="s">
        <v>393</v>
      </c>
      <c r="G41" s="38" t="s">
        <v>394</v>
      </c>
      <c r="H41" s="38" t="s">
        <v>395</v>
      </c>
      <c r="I41" s="38" t="s">
        <v>396</v>
      </c>
      <c r="J41" s="38" t="s">
        <v>397</v>
      </c>
      <c r="K41" s="38" t="s">
        <v>398</v>
      </c>
      <c r="L41" s="38" t="s">
        <v>115</v>
      </c>
    </row>
  </sheetData>
  <pageMargins left="0.7" right="0.7" top="0.75" bottom="0.75" header="0.511811023622047" footer="0.511811023622047"/>
  <pageSetup paperSize="9" orientation="portrait" horizontalDpi="300" verticalDpi="30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M29"/>
  <sheetViews>
    <sheetView showGridLines="0" zoomScaleNormal="100" workbookViewId="0">
      <selection activeCell="M10" sqref="M10"/>
    </sheetView>
  </sheetViews>
  <sheetFormatPr defaultColWidth="8.6640625" defaultRowHeight="14.4" x14ac:dyDescent="0.3"/>
  <cols>
    <col min="1" max="1" width="20.88671875" style="8" customWidth="1"/>
    <col min="2" max="3" width="11.109375" style="8" customWidth="1"/>
    <col min="4" max="4" width="10.88671875" style="8" customWidth="1"/>
    <col min="5" max="5" width="11.109375" style="8" customWidth="1"/>
    <col min="6" max="9" width="10.88671875" style="8" customWidth="1"/>
    <col min="10" max="10" width="11.109375" style="8" customWidth="1"/>
    <col min="11" max="13" width="10.88671875" style="8" customWidth="1"/>
  </cols>
  <sheetData>
    <row r="1" spans="1:13" ht="15" customHeight="1" x14ac:dyDescent="0.3">
      <c r="A1" s="61"/>
      <c r="B1" s="43">
        <v>41974</v>
      </c>
      <c r="C1" s="43">
        <v>42339</v>
      </c>
      <c r="D1" s="43">
        <v>42705</v>
      </c>
      <c r="E1" s="43">
        <v>43070</v>
      </c>
      <c r="F1" s="43">
        <v>43435</v>
      </c>
      <c r="G1" s="43">
        <v>43800</v>
      </c>
      <c r="H1" s="43">
        <v>44166</v>
      </c>
      <c r="I1" s="43">
        <v>44531</v>
      </c>
      <c r="J1" s="43">
        <v>44896</v>
      </c>
      <c r="K1" s="43">
        <v>45261</v>
      </c>
      <c r="L1" s="43">
        <v>45627</v>
      </c>
      <c r="M1" s="43">
        <v>45992</v>
      </c>
    </row>
    <row r="2" spans="1:13" x14ac:dyDescent="0.3">
      <c r="A2" s="49" t="s">
        <v>48</v>
      </c>
      <c r="B2" s="42">
        <f>('Income Statement'!B2/'Income Statement'!$B$2)</f>
        <v>1</v>
      </c>
      <c r="C2" s="42">
        <f>('Income Statement'!C2/'Income Statement'!$C$2)</f>
        <v>1</v>
      </c>
      <c r="D2" s="42">
        <f>('Income Statement'!D2/'Income Statement'!$D$2)</f>
        <v>1</v>
      </c>
      <c r="E2" s="42">
        <f>('Income Statement'!E2/'Income Statement'!$E$2)</f>
        <v>1</v>
      </c>
      <c r="F2" s="42">
        <f>('Income Statement'!F2/'Income Statement'!$F$2)</f>
        <v>1</v>
      </c>
      <c r="G2" s="42">
        <f>('Income Statement'!G2/'Income Statement'!$G$2)</f>
        <v>1</v>
      </c>
      <c r="H2" s="42">
        <f>('Income Statement'!H2/'Income Statement'!$H$2)</f>
        <v>1</v>
      </c>
      <c r="I2" s="42">
        <f>('Income Statement'!I2/'Income Statement'!$I$2)</f>
        <v>1</v>
      </c>
      <c r="J2" s="42">
        <f>('Income Statement'!J2/'Income Statement'!$J$2)</f>
        <v>1</v>
      </c>
      <c r="K2" s="42">
        <f>('Income Statement'!K2/'Income Statement'!$K$2)</f>
        <v>1</v>
      </c>
      <c r="L2" s="42">
        <f>('Income Statement'!L2/'Income Statement'!$L$2)</f>
        <v>1</v>
      </c>
      <c r="M2" s="42">
        <f>('Income Statement'!M2/'Income Statement'!$M$2)</f>
        <v>1</v>
      </c>
    </row>
    <row r="3" spans="1:13" ht="15" customHeight="1" x14ac:dyDescent="0.3">
      <c r="A3" s="51" t="s">
        <v>210</v>
      </c>
      <c r="B3" s="63">
        <v>0.18310000000000001</v>
      </c>
      <c r="C3" s="63">
        <v>0.35639999999999999</v>
      </c>
      <c r="D3" s="63">
        <v>0.1376</v>
      </c>
      <c r="E3" s="63">
        <v>3.6900000000000002E-2</v>
      </c>
      <c r="F3" s="63">
        <v>0.2752</v>
      </c>
      <c r="G3" s="63">
        <v>0.39650000000000002</v>
      </c>
      <c r="H3" s="63">
        <v>-9.5299999999999996E-2</v>
      </c>
      <c r="I3" s="63">
        <v>0.3679</v>
      </c>
      <c r="J3" s="63">
        <v>0.49299999999999999</v>
      </c>
      <c r="K3" s="63">
        <v>0.21779999999999999</v>
      </c>
      <c r="L3" s="63">
        <v>0.2472</v>
      </c>
      <c r="M3" s="63">
        <v>8.3900000000000002E-2</v>
      </c>
    </row>
    <row r="4" spans="1:13" ht="15" customHeight="1" x14ac:dyDescent="0.3">
      <c r="A4" s="53" t="s">
        <v>211</v>
      </c>
      <c r="B4" s="37">
        <f>('Income Statement'!B4/'Income Statement'!$B$2)</f>
        <v>0.84572342126298961</v>
      </c>
      <c r="C4" s="37">
        <f>('Income Statement'!C4/'Income Statement'!$C$2)</f>
        <v>0.81084266352386569</v>
      </c>
      <c r="D4" s="37">
        <f>('Income Statement'!D4/'Income Statement'!$D$2)</f>
        <v>0.79046879046879048</v>
      </c>
      <c r="E4" s="37">
        <f>('Income Statement'!E4/'Income Statement'!$E$2)</f>
        <v>0.79045954045954048</v>
      </c>
      <c r="F4" s="37">
        <f>('Income Statement'!F4/'Income Statement'!$F$2)</f>
        <v>0.79706170421155731</v>
      </c>
      <c r="G4" s="37">
        <f>('Income Statement'!G4/'Income Statement'!$G$2)</f>
        <v>0.79481065918653582</v>
      </c>
      <c r="H4" s="37">
        <f>('Income Statement'!H4/'Income Statement'!$H$2)</f>
        <v>0.81162790697674414</v>
      </c>
      <c r="I4" s="37">
        <f>('Income Statement'!I4/'Income Statement'!$I$2)</f>
        <v>0.80800181344213984</v>
      </c>
      <c r="J4" s="37">
        <f>('Income Statement'!J4/'Income Statement'!$J$2)</f>
        <v>0.78266150459272754</v>
      </c>
      <c r="K4" s="37">
        <f>('Income Statement'!K4/'Income Statement'!$K$2)</f>
        <v>0.76831016642772554</v>
      </c>
      <c r="L4" s="37">
        <f>('Income Statement'!L4/'Income Statement'!$L$2)</f>
        <v>0.75914634146341464</v>
      </c>
      <c r="M4" s="37">
        <f>('Income Statement'!M4/'Income Statement'!$M$2)</f>
        <v>0.7662439474290984</v>
      </c>
    </row>
    <row r="5" spans="1:13" x14ac:dyDescent="0.3">
      <c r="A5" s="57" t="s">
        <v>212</v>
      </c>
      <c r="B5" s="64">
        <v>0.54990000000000006</v>
      </c>
      <c r="C5" s="64">
        <v>0.50570000000000004</v>
      </c>
      <c r="D5" s="64">
        <v>0.4501</v>
      </c>
      <c r="E5" s="64">
        <v>0.4521</v>
      </c>
      <c r="F5" s="64">
        <v>0.43959999999999999</v>
      </c>
      <c r="G5" s="64">
        <v>0.4516</v>
      </c>
      <c r="H5" s="64">
        <v>0.42849999999999999</v>
      </c>
      <c r="I5" s="64">
        <v>0.45729999999999998</v>
      </c>
      <c r="J5" s="64">
        <v>0.4753</v>
      </c>
      <c r="K5" s="64">
        <v>0.46160000000000001</v>
      </c>
      <c r="L5" s="64">
        <v>0.4451</v>
      </c>
      <c r="M5" s="64">
        <v>0.44800000000000001</v>
      </c>
    </row>
    <row r="6" spans="1:13" x14ac:dyDescent="0.3">
      <c r="A6" s="56" t="s">
        <v>213</v>
      </c>
      <c r="B6" s="37">
        <f>('Income Statement'!B6/'Income Statement'!$B$2)</f>
        <v>0.54996003197442045</v>
      </c>
      <c r="C6" s="37">
        <f>('Income Statement'!C6/'Income Statement'!$C$2)</f>
        <v>0.51414260459634653</v>
      </c>
      <c r="D6" s="37">
        <f>('Income Statement'!D6/'Income Statement'!$D$2)</f>
        <v>0.45843045843045843</v>
      </c>
      <c r="E6" s="37">
        <f>('Income Statement'!E6/'Income Statement'!$E$2)</f>
        <v>0.47027972027972026</v>
      </c>
      <c r="F6" s="37">
        <f>('Income Statement'!F6/'Income Statement'!$F$2)</f>
        <v>0.45171400587659155</v>
      </c>
      <c r="G6" s="37">
        <f>('Income Statement'!G6/'Income Statement'!$G$2)</f>
        <v>0.47166900420757363</v>
      </c>
      <c r="H6" s="37">
        <f>('Income Statement'!H6/'Income Statement'!$H$2)</f>
        <v>0.43116279069767444</v>
      </c>
      <c r="I6" s="37">
        <f>('Income Statement'!I6/'Income Statement'!$I$2)</f>
        <v>0.46854811288677323</v>
      </c>
      <c r="J6" s="37">
        <f>('Income Statement'!J6/'Income Statement'!$J$2)</f>
        <v>0.50148030061489413</v>
      </c>
      <c r="K6" s="37">
        <f>('Income Statement'!K6/'Income Statement'!$K$2)</f>
        <v>0.46680795362463379</v>
      </c>
      <c r="L6" s="37">
        <f>('Income Statement'!L6/'Income Statement'!$L$2)</f>
        <v>0.44882047181127549</v>
      </c>
      <c r="M6" s="37">
        <f>('Income Statement'!M6/'Income Statement'!$M$2)</f>
        <v>0.44763661517177772</v>
      </c>
    </row>
    <row r="7" spans="1:13" x14ac:dyDescent="0.3">
      <c r="A7" s="56" t="s">
        <v>214</v>
      </c>
      <c r="B7" s="37">
        <f>('Income Statement'!B7/'Income Statement'!$B$2)</f>
        <v>0</v>
      </c>
      <c r="C7" s="37">
        <f>('Income Statement'!C7/'Income Statement'!$C$2)</f>
        <v>-8.5444902769593392E-3</v>
      </c>
      <c r="D7" s="37">
        <f>('Income Statement'!D7/'Income Statement'!$D$2)</f>
        <v>-8.2880082880082886E-3</v>
      </c>
      <c r="E7" s="37">
        <f>('Income Statement'!E7/'Income Statement'!$E$2)</f>
        <v>-1.8231768231768232E-2</v>
      </c>
      <c r="F7" s="37">
        <f>('Income Statement'!F7/'Income Statement'!$F$2)</f>
        <v>-1.2144955925563174E-2</v>
      </c>
      <c r="G7" s="37">
        <f>('Income Statement'!G7/'Income Statement'!$G$2)</f>
        <v>-2.0196353436185133E-2</v>
      </c>
      <c r="H7" s="37">
        <f>('Income Statement'!H7/'Income Statement'!$H$2)</f>
        <v>-2.635658914728682E-3</v>
      </c>
      <c r="I7" s="37">
        <f>('Income Statement'!I7/'Income Statement'!$I$2)</f>
        <v>-1.1334013374135782E-2</v>
      </c>
      <c r="J7" s="37">
        <f>('Income Statement'!J7/'Income Statement'!$J$2)</f>
        <v>-2.6189933955818721E-2</v>
      </c>
      <c r="K7" s="37">
        <f>('Income Statement'!K7/'Income Statement'!$K$2)</f>
        <v>-5.2359284423112882E-3</v>
      </c>
      <c r="L7" s="37">
        <f>('Income Statement'!L7/'Income Statement'!$L$2)</f>
        <v>-3.7485005997600958E-3</v>
      </c>
      <c r="M7" s="37">
        <f>('Income Statement'!M7/'Income Statement'!$M$2)</f>
        <v>4.1503343324878947E-4</v>
      </c>
    </row>
    <row r="8" spans="1:13" x14ac:dyDescent="0.3">
      <c r="A8" s="56" t="s">
        <v>215</v>
      </c>
      <c r="B8" s="65">
        <v>8.3500000000000005E-2</v>
      </c>
      <c r="C8" s="65">
        <v>7.7499999999999999E-2</v>
      </c>
      <c r="D8" s="65">
        <v>8.0500000000000002E-2</v>
      </c>
      <c r="E8" s="65">
        <v>7.8600000000000003E-2</v>
      </c>
      <c r="F8" s="65">
        <v>7.5700000000000003E-2</v>
      </c>
      <c r="G8" s="65">
        <v>7.3599999999999999E-2</v>
      </c>
      <c r="H8" s="65">
        <v>8.2400000000000001E-2</v>
      </c>
      <c r="I8" s="65">
        <v>7.46E-2</v>
      </c>
      <c r="J8" s="65">
        <v>7.22E-2</v>
      </c>
      <c r="K8" s="65">
        <v>6.7799999999999999E-2</v>
      </c>
      <c r="L8" s="65">
        <v>6.5500000000000003E-2</v>
      </c>
      <c r="M8" s="65">
        <v>6.0199999999999997E-2</v>
      </c>
    </row>
    <row r="9" spans="1:13" x14ac:dyDescent="0.3">
      <c r="A9" s="56" t="s">
        <v>216</v>
      </c>
      <c r="B9" s="65">
        <v>8.6599999999999996E-2</v>
      </c>
      <c r="C9" s="65">
        <v>9.5399999999999999E-2</v>
      </c>
      <c r="D9" s="65">
        <v>0.10920000000000001</v>
      </c>
      <c r="E9" s="65">
        <v>0.1157</v>
      </c>
      <c r="F9" s="65">
        <v>0.1142</v>
      </c>
      <c r="G9" s="65">
        <v>0.1138</v>
      </c>
      <c r="H9" s="65">
        <v>0.13800000000000001</v>
      </c>
      <c r="I9" s="65">
        <v>0.11509999999999999</v>
      </c>
      <c r="J9" s="65">
        <v>9.3799999999999994E-2</v>
      </c>
      <c r="K9" s="65">
        <v>9.0200000000000002E-2</v>
      </c>
      <c r="L9" s="65">
        <v>9.4299999999999995E-2</v>
      </c>
      <c r="M9" s="65">
        <v>0.10150000000000001</v>
      </c>
    </row>
    <row r="10" spans="1:13" ht="15" customHeight="1" x14ac:dyDescent="0.3">
      <c r="A10" s="56" t="s">
        <v>217</v>
      </c>
      <c r="B10" s="65">
        <v>0.12529999999999999</v>
      </c>
      <c r="C10" s="65">
        <v>0.1321</v>
      </c>
      <c r="D10" s="65">
        <v>0.15060000000000001</v>
      </c>
      <c r="E10" s="65">
        <v>0.14419999999999999</v>
      </c>
      <c r="F10" s="65">
        <v>0.1676</v>
      </c>
      <c r="G10" s="65">
        <v>0.15590000000000001</v>
      </c>
      <c r="H10" s="65">
        <v>0.1628</v>
      </c>
      <c r="I10" s="65">
        <v>0.161</v>
      </c>
      <c r="J10" s="65">
        <v>0.1414</v>
      </c>
      <c r="K10" s="65">
        <v>0.1487</v>
      </c>
      <c r="L10" s="65">
        <v>0.15440000000000001</v>
      </c>
      <c r="M10" s="65">
        <v>0.1565</v>
      </c>
    </row>
    <row r="11" spans="1:13" x14ac:dyDescent="0.3">
      <c r="A11" s="49" t="s">
        <v>218</v>
      </c>
      <c r="B11" s="37">
        <f>('Income Statement'!B11/'Income Statement'!$B$2)</f>
        <v>0.15467625899280577</v>
      </c>
      <c r="C11" s="37">
        <f>('Income Statement'!C11/'Income Statement'!$C$2)</f>
        <v>0.18915733647613436</v>
      </c>
      <c r="D11" s="37">
        <f>('Income Statement'!D11/'Income Statement'!$D$2)</f>
        <v>0.20979020979020979</v>
      </c>
      <c r="E11" s="37">
        <f>('Income Statement'!E11/'Income Statement'!$E$2)</f>
        <v>0.20929070929070928</v>
      </c>
      <c r="F11" s="37">
        <f>('Income Statement'!F11/'Income Statement'!$F$2)</f>
        <v>0.20293829578844269</v>
      </c>
      <c r="G11" s="37">
        <f>('Income Statement'!G11/'Income Statement'!$G$2)</f>
        <v>0.20504908835904628</v>
      </c>
      <c r="H11" s="37">
        <f>('Income Statement'!H11/'Income Statement'!$H$2)</f>
        <v>0.1883720930232558</v>
      </c>
      <c r="I11" s="37">
        <f>('Income Statement'!I11/'Income Statement'!$I$2)</f>
        <v>0.19199818655786013</v>
      </c>
      <c r="J11" s="37">
        <f>('Income Statement'!J11/'Income Statement'!$J$2)</f>
        <v>0.21733849540727246</v>
      </c>
      <c r="K11" s="37">
        <f>('Income Statement'!K11/'Income Statement'!$K$2)</f>
        <v>0.23168983357227452</v>
      </c>
      <c r="L11" s="37">
        <f>('Income Statement'!L11/'Income Statement'!$L$2)</f>
        <v>0.24080367852858856</v>
      </c>
      <c r="M11" s="37">
        <f>('Income Statement'!M11/'Income Statement'!$M$2)</f>
        <v>0.23380216739681808</v>
      </c>
    </row>
    <row r="12" spans="1:13" ht="15" customHeight="1" x14ac:dyDescent="0.3">
      <c r="A12" s="46" t="s">
        <v>219</v>
      </c>
      <c r="B12" s="65">
        <v>0.15</v>
      </c>
      <c r="C12" s="65">
        <v>0.19</v>
      </c>
      <c r="D12" s="65">
        <v>0.21</v>
      </c>
      <c r="E12" s="65">
        <v>0.21</v>
      </c>
      <c r="F12" s="65">
        <v>0.2</v>
      </c>
      <c r="G12" s="65">
        <v>0.21</v>
      </c>
      <c r="H12" s="65">
        <v>0.19</v>
      </c>
      <c r="I12" s="65">
        <v>0.19</v>
      </c>
      <c r="J12" s="65">
        <v>0.22</v>
      </c>
      <c r="K12" s="65">
        <v>0.23</v>
      </c>
      <c r="L12" s="65">
        <v>0.24</v>
      </c>
      <c r="M12" s="65">
        <v>0.23</v>
      </c>
    </row>
    <row r="13" spans="1:13" x14ac:dyDescent="0.3">
      <c r="A13" s="49" t="s">
        <v>220</v>
      </c>
      <c r="B13" s="37">
        <f>('Income Statement'!B13/'Income Statement'!$B$2)</f>
        <v>5.5955235811350921E-3</v>
      </c>
      <c r="C13" s="37">
        <f>('Income Statement'!C13/'Income Statement'!$C$2)</f>
        <v>1.060695344725987E-2</v>
      </c>
      <c r="D13" s="37">
        <f>('Income Statement'!D13/'Income Statement'!$D$2)</f>
        <v>6.993006993006993E-3</v>
      </c>
      <c r="E13" s="37">
        <f>('Income Statement'!E13/'Income Statement'!$E$2)</f>
        <v>3.4965034965034965E-3</v>
      </c>
      <c r="F13" s="37">
        <f>('Income Statement'!F13/'Income Statement'!$F$2)</f>
        <v>1.1753183153770813E-3</v>
      </c>
      <c r="G13" s="37">
        <f>('Income Statement'!G13/'Income Statement'!$G$2)</f>
        <v>6.5918653576437589E-3</v>
      </c>
      <c r="H13" s="37">
        <f>('Income Statement'!H13/'Income Statement'!$H$2)</f>
        <v>-4.6511627906976744E-3</v>
      </c>
      <c r="I13" s="37">
        <f>('Income Statement'!I13/'Income Statement'!$I$2)</f>
        <v>5.7803468208092483E-3</v>
      </c>
      <c r="J13" s="37">
        <f>('Income Statement'!J13/'Income Statement'!$J$2)</f>
        <v>-1.3664313368253246E-3</v>
      </c>
      <c r="K13" s="37">
        <f>('Income Statement'!K13/'Income Statement'!$K$2)</f>
        <v>-3.1166240728043381E-4</v>
      </c>
      <c r="L13" s="37">
        <f>('Income Statement'!L13/'Income Statement'!$L$2)</f>
        <v>2.2491003598560577E-3</v>
      </c>
      <c r="M13" s="37">
        <f>('Income Statement'!M13/'Income Statement'!$M$2)</f>
        <v>1.623241872261932E-2</v>
      </c>
    </row>
    <row r="14" spans="1:13" x14ac:dyDescent="0.3">
      <c r="A14" s="51" t="s">
        <v>221</v>
      </c>
      <c r="B14" s="37">
        <f>('Income Statement'!B14/'Income Statement'!$B$2)</f>
        <v>0</v>
      </c>
      <c r="C14" s="37">
        <f>('Income Statement'!C14/'Income Statement'!$C$2)</f>
        <v>7.9552150854449027E-3</v>
      </c>
      <c r="D14" s="37">
        <f>('Income Statement'!D14/'Income Statement'!$D$2)</f>
        <v>-2.8490028490028491E-3</v>
      </c>
      <c r="E14" s="37">
        <f>('Income Statement'!E14/'Income Statement'!$E$2)</f>
        <v>7.4925074925074925E-4</v>
      </c>
      <c r="F14" s="37">
        <f>('Income Statement'!F14/'Income Statement'!$F$2)</f>
        <v>-3.7218413320274243E-3</v>
      </c>
      <c r="G14" s="37">
        <f>('Income Statement'!G14/'Income Statement'!$G$2)</f>
        <v>2.8050490883590464E-4</v>
      </c>
      <c r="H14" s="37">
        <f>('Income Statement'!H14/'Income Statement'!$H$2)</f>
        <v>-1.0387596899224806E-2</v>
      </c>
      <c r="I14" s="37">
        <f>('Income Statement'!I14/'Income Statement'!$I$2)</f>
        <v>-1.9267822736030828E-3</v>
      </c>
      <c r="J14" s="37">
        <f>('Income Statement'!J14/'Income Statement'!$J$2)</f>
        <v>-4.3270325666135276E-3</v>
      </c>
      <c r="K14" s="37">
        <f>('Income Statement'!K14/'Income Statement'!$K$2)</f>
        <v>-5.2359284423112882E-3</v>
      </c>
      <c r="L14" s="37">
        <f>('Income Statement'!L14/'Income Statement'!$L$2)</f>
        <v>-3.6985205917632949E-3</v>
      </c>
      <c r="M14" s="37">
        <f>('Income Statement'!M14/'Income Statement'!$M$2)</f>
        <v>3.8736453769887018E-3</v>
      </c>
    </row>
    <row r="15" spans="1:13" x14ac:dyDescent="0.3">
      <c r="A15" s="51" t="s">
        <v>222</v>
      </c>
      <c r="B15" s="37">
        <f>('Income Statement'!B15/'Income Statement'!$B$2)</f>
        <v>5.9952038369304557E-3</v>
      </c>
      <c r="C15" s="37">
        <f>('Income Statement'!C15/'Income Statement'!$C$2)</f>
        <v>2.6517383618149676E-3</v>
      </c>
      <c r="D15" s="37">
        <f>('Income Statement'!D15/'Income Statement'!$D$2)</f>
        <v>9.8420098420098426E-3</v>
      </c>
      <c r="E15" s="37">
        <f>('Income Statement'!E15/'Income Statement'!$E$2)</f>
        <v>2.7472527472527475E-3</v>
      </c>
      <c r="F15" s="37">
        <f>('Income Statement'!F15/'Income Statement'!$F$2)</f>
        <v>4.8971596474045058E-3</v>
      </c>
      <c r="G15" s="37">
        <f>('Income Statement'!G15/'Income Statement'!$G$2)</f>
        <v>6.311360448807854E-3</v>
      </c>
      <c r="H15" s="37">
        <f>('Income Statement'!H15/'Income Statement'!$H$2)</f>
        <v>5.7364341085271321E-3</v>
      </c>
      <c r="I15" s="37">
        <f>('Income Statement'!I15/'Income Statement'!$I$2)</f>
        <v>7.7071290944123313E-3</v>
      </c>
      <c r="J15" s="37">
        <f>('Income Statement'!J15/'Income Statement'!$J$2)</f>
        <v>2.884688377742352E-3</v>
      </c>
      <c r="K15" s="37">
        <f>('Income Statement'!K15/'Income Statement'!$K$2)</f>
        <v>4.9242660350308541E-3</v>
      </c>
      <c r="L15" s="37">
        <f>('Income Statement'!L15/'Income Statement'!$L$2)</f>
        <v>5.9476209516193526E-3</v>
      </c>
      <c r="M15" s="37">
        <f>('Income Statement'!M15/'Income Statement'!$M$2)</f>
        <v>1.235877334563062E-2</v>
      </c>
    </row>
    <row r="16" spans="1:13" x14ac:dyDescent="0.3">
      <c r="A16" s="46" t="s">
        <v>55</v>
      </c>
      <c r="B16" s="37">
        <f>('Income Statement'!B16/'Income Statement'!$B$2)</f>
        <v>7.4740207833733016E-2</v>
      </c>
      <c r="C16" s="37">
        <f>('Income Statement'!C16/'Income Statement'!$C$2)</f>
        <v>5.0088391278727162E-2</v>
      </c>
      <c r="D16" s="37">
        <f>('Income Statement'!D16/'Income Statement'!$D$2)</f>
        <v>0.11266511266511267</v>
      </c>
      <c r="E16" s="37">
        <f>('Income Statement'!E16/'Income Statement'!$E$2)</f>
        <v>5.3696303696303696E-2</v>
      </c>
      <c r="F16" s="37">
        <f>('Income Statement'!F16/'Income Statement'!$F$2)</f>
        <v>4.3682664054848191E-2</v>
      </c>
      <c r="G16" s="37">
        <f>('Income Statement'!G16/'Income Statement'!$G$2)</f>
        <v>4.5441795231416553E-2</v>
      </c>
      <c r="H16" s="37">
        <f>('Income Statement'!H16/'Income Statement'!$H$2)</f>
        <v>4.5581395348837206E-2</v>
      </c>
      <c r="I16" s="37">
        <f>('Income Statement'!I16/'Income Statement'!$I$2)</f>
        <v>2.3461407684461068E-2</v>
      </c>
      <c r="J16" s="37">
        <f>('Income Statement'!J16/'Income Statement'!$J$2)</f>
        <v>1.5486221817353677E-2</v>
      </c>
      <c r="K16" s="37">
        <f>('Income Statement'!K16/'Income Statement'!$K$2)</f>
        <v>1.8201084585177336E-2</v>
      </c>
      <c r="L16" s="37">
        <f>('Income Statement'!L16/'Income Statement'!$L$2)</f>
        <v>2.4140343862455019E-2</v>
      </c>
      <c r="M16" s="37">
        <f>('Income Statement'!M16/'Income Statement'!$M$2)</f>
        <v>9.0385058796403038E-3</v>
      </c>
    </row>
    <row r="17" spans="1:13" ht="15" customHeight="1" x14ac:dyDescent="0.3">
      <c r="A17" s="44" t="s">
        <v>53</v>
      </c>
      <c r="B17" s="37">
        <f>('Income Statement'!B17/'Income Statement'!$B$2)</f>
        <v>8.3932853717026384E-2</v>
      </c>
      <c r="C17" s="37">
        <f>('Income Statement'!C17/'Income Statement'!$C$2)</f>
        <v>9.3400117855038309E-2</v>
      </c>
      <c r="D17" s="37">
        <f>('Income Statement'!D17/'Income Statement'!$D$2)</f>
        <v>8.3398083398083397E-2</v>
      </c>
      <c r="E17" s="37">
        <f>('Income Statement'!E17/'Income Statement'!$E$2)</f>
        <v>8.6663336663336657E-2</v>
      </c>
      <c r="F17" s="37">
        <f>('Income Statement'!F17/'Income Statement'!$F$2)</f>
        <v>7.5416258570029385E-2</v>
      </c>
      <c r="G17" s="37">
        <f>('Income Statement'!G17/'Income Statement'!$G$2)</f>
        <v>6.8583450210378677E-2</v>
      </c>
      <c r="H17" s="37">
        <f>('Income Statement'!H17/'Income Statement'!$H$2)</f>
        <v>8.2015503875968995E-2</v>
      </c>
      <c r="I17" s="37">
        <f>('Income Statement'!I17/'Income Statement'!$I$2)</f>
        <v>6.0183611016660997E-2</v>
      </c>
      <c r="J17" s="37">
        <f>('Income Statement'!J17/'Income Statement'!$J$2)</f>
        <v>4.6838229712290291E-2</v>
      </c>
      <c r="K17" s="37">
        <f>('Income Statement'!K17/'Income Statement'!$K$2)</f>
        <v>4.2448419871595089E-2</v>
      </c>
      <c r="L17" s="37">
        <f>('Income Statement'!L17/'Income Statement'!$L$2)</f>
        <v>4.7331067572970814E-2</v>
      </c>
      <c r="M17" s="37">
        <f>('Income Statement'!M17/'Income Statement'!$M$2)</f>
        <v>5.6075628314503113E-2</v>
      </c>
    </row>
    <row r="18" spans="1:13" x14ac:dyDescent="0.3">
      <c r="A18" s="53" t="s">
        <v>223</v>
      </c>
      <c r="B18" s="37">
        <f>('Income Statement'!B18/'Income Statement'!$B$2)</f>
        <v>1.5987210231814548E-3</v>
      </c>
      <c r="C18" s="37">
        <f>('Income Statement'!C18/'Income Statement'!$C$2)</f>
        <v>5.6275780789628756E-2</v>
      </c>
      <c r="D18" s="37">
        <f>('Income Statement'!D18/'Income Statement'!$D$2)</f>
        <v>2.0461020461020461E-2</v>
      </c>
      <c r="E18" s="37">
        <f>('Income Statement'!E18/'Income Statement'!$E$2)</f>
        <v>7.2677322677322673E-2</v>
      </c>
      <c r="F18" s="37">
        <f>('Income Statement'!F18/'Income Statement'!$F$2)</f>
        <v>8.5014691478942209E-2</v>
      </c>
      <c r="G18" s="37">
        <f>('Income Statement'!G18/'Income Statement'!$G$2)</f>
        <v>9.7615708274894811E-2</v>
      </c>
      <c r="H18" s="37">
        <f>('Income Statement'!H18/'Income Statement'!$H$2)</f>
        <v>5.6279069767441861E-2</v>
      </c>
      <c r="I18" s="37">
        <f>('Income Statement'!I18/'Income Statement'!$I$2)</f>
        <v>0.11413351467754732</v>
      </c>
      <c r="J18" s="37">
        <f>('Income Statement'!J18/'Income Statement'!$J$2)</f>
        <v>0.15364761254080317</v>
      </c>
      <c r="K18" s="37">
        <f>('Income Statement'!K18/'Income Statement'!$K$2)</f>
        <v>0.17072866670822165</v>
      </c>
      <c r="L18" s="37">
        <f>('Income Statement'!L18/'Income Statement'!$L$2)</f>
        <v>0.1715813674530188</v>
      </c>
      <c r="M18" s="37">
        <f>('Income Statement'!M18/'Income Statement'!$M$2)</f>
        <v>0.18492045192529399</v>
      </c>
    </row>
    <row r="19" spans="1:13" ht="15" customHeight="1" x14ac:dyDescent="0.3">
      <c r="A19" s="44" t="s">
        <v>224</v>
      </c>
      <c r="B19" s="63">
        <v>6.58</v>
      </c>
      <c r="C19" s="63">
        <v>0.41</v>
      </c>
      <c r="D19" s="63">
        <v>0.39</v>
      </c>
      <c r="E19" s="63">
        <v>0.26</v>
      </c>
      <c r="F19" s="63">
        <v>0.31</v>
      </c>
      <c r="G19" s="63">
        <v>0.32</v>
      </c>
      <c r="H19" s="63">
        <v>0.01</v>
      </c>
      <c r="I19" s="63">
        <v>0.26</v>
      </c>
      <c r="J19" s="63">
        <v>0.23</v>
      </c>
      <c r="K19" s="63">
        <v>0.23</v>
      </c>
      <c r="L19" s="63">
        <v>0.23</v>
      </c>
      <c r="M19" s="63">
        <v>0.24</v>
      </c>
    </row>
    <row r="20" spans="1:13" x14ac:dyDescent="0.3">
      <c r="A20" s="53" t="s">
        <v>225</v>
      </c>
      <c r="B20" s="37">
        <f>('Income Statement'!B20/'Income Statement'!$B$2)</f>
        <v>-7.9936051159072742E-3</v>
      </c>
      <c r="C20" s="37">
        <f>('Income Statement'!C20/'Income Statement'!$C$2)</f>
        <v>3.3294048320565706E-2</v>
      </c>
      <c r="D20" s="37">
        <f>('Income Statement'!D20/'Income Statement'!$D$2)</f>
        <v>1.2432012432012432E-2</v>
      </c>
      <c r="E20" s="37">
        <f>('Income Statement'!E20/'Income Statement'!$E$2)</f>
        <v>5.3446553446553448E-2</v>
      </c>
      <c r="F20" s="37">
        <f>('Income Statement'!F20/'Income Statement'!$F$2)</f>
        <v>5.8765915768854066E-2</v>
      </c>
      <c r="G20" s="37">
        <f>('Income Statement'!G20/'Income Statement'!$G$2)</f>
        <v>6.6199158485273496E-2</v>
      </c>
      <c r="H20" s="37">
        <f>('Income Statement'!H20/'Income Statement'!$H$2)</f>
        <v>5.5348837209302323E-2</v>
      </c>
      <c r="I20" s="37">
        <f>('Income Statement'!I20/'Income Statement'!$I$2)</f>
        <v>8.4551739771052931E-2</v>
      </c>
      <c r="J20" s="37">
        <f>('Income Statement'!J20/'Income Statement'!$J$2)</f>
        <v>0.11766492067106961</v>
      </c>
      <c r="K20" s="37">
        <f>('Income Statement'!K20/'Income Statement'!$K$2)</f>
        <v>0.13102287602069437</v>
      </c>
      <c r="L20" s="37">
        <f>('Income Statement'!L20/'Income Statement'!$L$2)</f>
        <v>0.13164734106357456</v>
      </c>
      <c r="M20" s="37">
        <f>('Income Statement'!M20/'Income Statement'!$M$2)</f>
        <v>0.14120359695642148</v>
      </c>
    </row>
    <row r="21" spans="1:13" x14ac:dyDescent="0.3">
      <c r="A21" s="56" t="s">
        <v>226</v>
      </c>
      <c r="B21" s="37">
        <f>('Income Statement'!B21/'Income Statement'!$B$2)</f>
        <v>3.996802557953637E-4</v>
      </c>
      <c r="C21" s="37">
        <f>('Income Statement'!C21/'Income Statement'!$C$2)</f>
        <v>2.9463759575721861E-4</v>
      </c>
      <c r="D21" s="37">
        <f>('Income Statement'!D21/'Income Statement'!$D$2)</f>
        <v>0</v>
      </c>
      <c r="E21" s="37">
        <f>('Income Statement'!E21/'Income Statement'!$E$2)</f>
        <v>0</v>
      </c>
      <c r="F21" s="37">
        <f>('Income Statement'!F21/'Income Statement'!$F$2)</f>
        <v>0</v>
      </c>
      <c r="G21" s="37">
        <f>('Income Statement'!G21/'Income Statement'!$G$2)</f>
        <v>0</v>
      </c>
      <c r="H21" s="37">
        <f>('Income Statement'!H21/'Income Statement'!$H$2)</f>
        <v>0</v>
      </c>
      <c r="I21" s="37">
        <f>('Income Statement'!I21/'Income Statement'!$I$2)</f>
        <v>0</v>
      </c>
      <c r="J21" s="37">
        <f>('Income Statement'!J21/'Income Statement'!$J$2)</f>
        <v>0</v>
      </c>
      <c r="K21" s="37">
        <f>('Income Statement'!K21/'Income Statement'!$K$2)</f>
        <v>0</v>
      </c>
      <c r="L21" s="37">
        <f>('Income Statement'!L21/'Income Statement'!$L$2)</f>
        <v>0</v>
      </c>
      <c r="M21" s="37">
        <f>('Income Statement'!M21/'Income Statement'!$M$2)</f>
        <v>0</v>
      </c>
    </row>
    <row r="22" spans="1:13" x14ac:dyDescent="0.3">
      <c r="A22" s="56" t="s">
        <v>227</v>
      </c>
      <c r="B22" s="37">
        <f>('Income Statement'!B22/'Income Statement'!$B$2)</f>
        <v>0</v>
      </c>
      <c r="C22" s="37">
        <f>('Income Statement'!C22/'Income Statement'!$C$2)</f>
        <v>0</v>
      </c>
      <c r="D22" s="37">
        <f>('Income Statement'!D22/'Income Statement'!$D$2)</f>
        <v>-1.554001554001554E-3</v>
      </c>
      <c r="E22" s="37">
        <f>('Income Statement'!E22/'Income Statement'!$E$2)</f>
        <v>-9.99000999000999E-4</v>
      </c>
      <c r="F22" s="37">
        <f>('Income Statement'!F22/'Income Statement'!$F$2)</f>
        <v>-1.3712047012732615E-3</v>
      </c>
      <c r="G22" s="37">
        <f>('Income Statement'!G22/'Income Statement'!$G$2)</f>
        <v>-4.2075736325385696E-4</v>
      </c>
      <c r="H22" s="37">
        <f>('Income Statement'!H22/'Income Statement'!$H$2)</f>
        <v>-4.3410852713178291E-3</v>
      </c>
      <c r="I22" s="37">
        <f>('Income Statement'!I22/'Income Statement'!$I$2)</f>
        <v>-5.8936869545506065E-3</v>
      </c>
      <c r="J22" s="37">
        <f>('Income Statement'!J22/'Income Statement'!$J$2)</f>
        <v>-4.0233811584301218E-3</v>
      </c>
      <c r="K22" s="37">
        <f>('Income Statement'!K22/'Income Statement'!$K$2)</f>
        <v>-2.8672941469799914E-3</v>
      </c>
      <c r="L22" s="37">
        <f>('Income Statement'!L22/'Income Statement'!$L$2)</f>
        <v>-1.9992003198720512E-3</v>
      </c>
      <c r="M22" s="37">
        <f>('Income Statement'!M22/'Income Statement'!$M$2)</f>
        <v>-1.1989854738298363E-3</v>
      </c>
    </row>
    <row r="23" spans="1:13" x14ac:dyDescent="0.3">
      <c r="A23" s="56" t="s">
        <v>228</v>
      </c>
      <c r="B23" s="37">
        <f>('Income Statement'!B23/'Income Statement'!$B$2)</f>
        <v>0</v>
      </c>
      <c r="C23" s="37">
        <f>('Income Statement'!C23/'Income Statement'!$C$2)</f>
        <v>2.9463759575721863E-3</v>
      </c>
      <c r="D23" s="37">
        <f>('Income Statement'!D23/'Income Statement'!$D$2)</f>
        <v>-1.2950012950012949E-3</v>
      </c>
      <c r="E23" s="37">
        <f>('Income Statement'!E23/'Income Statement'!$E$2)</f>
        <v>4.995004995004995E-4</v>
      </c>
      <c r="F23" s="37">
        <f>('Income Statement'!F23/'Income Statement'!$F$2)</f>
        <v>-2.5465230166503428E-3</v>
      </c>
      <c r="G23" s="37">
        <f>('Income Statement'!G23/'Income Statement'!$G$2)</f>
        <v>1.4025245441795232E-4</v>
      </c>
      <c r="H23" s="37">
        <f>('Income Statement'!H23/'Income Statement'!$H$2)</f>
        <v>-9.1472868217054269E-3</v>
      </c>
      <c r="I23" s="37">
        <f>('Income Statement'!I23/'Income Statement'!$I$2)</f>
        <v>-1.4734217386376516E-3</v>
      </c>
      <c r="J23" s="37">
        <f>('Income Statement'!J23/'Income Statement'!$J$2)</f>
        <v>-3.3401654900174597E-3</v>
      </c>
      <c r="K23" s="37">
        <f>('Income Statement'!K23/'Income Statement'!$K$2)</f>
        <v>-3.9892788131895528E-3</v>
      </c>
      <c r="L23" s="37">
        <f>('Income Statement'!L23/'Income Statement'!$L$2)</f>
        <v>-2.848860455817673E-3</v>
      </c>
      <c r="M23" s="37">
        <f>('Income Statement'!M23/'Income Statement'!$M$2)</f>
        <v>4.7959418953193453E-3</v>
      </c>
    </row>
    <row r="24" spans="1:13" x14ac:dyDescent="0.3">
      <c r="A24" s="56" t="s">
        <v>229</v>
      </c>
      <c r="B24" s="37">
        <f>('Income Statement'!B24/'Income Statement'!$B$2)</f>
        <v>-7.9936051159072742E-3</v>
      </c>
      <c r="C24" s="37">
        <f>('Income Statement'!C24/'Income Statement'!$C$2)</f>
        <v>3.0347672362993516E-2</v>
      </c>
      <c r="D24" s="37">
        <f>('Income Statement'!D24/'Income Statement'!$D$2)</f>
        <v>1.3727013727013727E-2</v>
      </c>
      <c r="E24" s="37">
        <f>('Income Statement'!E24/'Income Statement'!$E$2)</f>
        <v>5.2947052947052944E-2</v>
      </c>
      <c r="F24" s="37">
        <f>('Income Statement'!F24/'Income Statement'!$F$2)</f>
        <v>6.1312438785504408E-2</v>
      </c>
      <c r="G24" s="37">
        <f>('Income Statement'!G24/'Income Statement'!$G$2)</f>
        <v>6.6058906030855541E-2</v>
      </c>
      <c r="H24" s="37">
        <f>('Income Statement'!H24/'Income Statement'!$H$2)</f>
        <v>6.4496124031007754E-2</v>
      </c>
      <c r="I24" s="37">
        <f>('Income Statement'!I24/'Income Statement'!$I$2)</f>
        <v>8.6025161509690584E-2</v>
      </c>
      <c r="J24" s="37">
        <f>('Income Statement'!J24/'Income Statement'!$J$2)</f>
        <v>0.12100508616108707</v>
      </c>
      <c r="K24" s="37">
        <f>('Income Statement'!K24/'Income Statement'!$K$2)</f>
        <v>0.13501215483388393</v>
      </c>
      <c r="L24" s="37">
        <f>('Income Statement'!L24/'Income Statement'!$L$2)</f>
        <v>0.13449620151939223</v>
      </c>
      <c r="M24" s="37">
        <f>('Income Statement'!M24/'Income Statement'!$M$2)</f>
        <v>0.13640765506110214</v>
      </c>
    </row>
    <row r="25" spans="1:13" x14ac:dyDescent="0.3">
      <c r="A25" s="56" t="s">
        <v>230</v>
      </c>
      <c r="B25" s="37">
        <f>('Income Statement'!B25/'Income Statement'!$B$2)</f>
        <v>-7.9936051159072742E-3</v>
      </c>
      <c r="C25" s="37">
        <f>('Income Statement'!C25/'Income Statement'!$C$2)</f>
        <v>3.0347672362993516E-2</v>
      </c>
      <c r="D25" s="37">
        <f>('Income Statement'!D25/'Income Statement'!$D$2)</f>
        <v>1.2173012173012173E-2</v>
      </c>
      <c r="E25" s="37">
        <f>('Income Statement'!E25/'Income Statement'!$E$2)</f>
        <v>5.1948051948051951E-2</v>
      </c>
      <c r="F25" s="37">
        <f>('Income Statement'!F25/'Income Statement'!$F$2)</f>
        <v>5.9941234084231146E-2</v>
      </c>
      <c r="G25" s="37">
        <f>('Income Statement'!G25/'Income Statement'!$G$2)</f>
        <v>6.563814866760169E-2</v>
      </c>
      <c r="H25" s="37">
        <f>('Income Statement'!H25/'Income Statement'!$H$2)</f>
        <v>5.9379844961240311E-2</v>
      </c>
      <c r="I25" s="37">
        <f>('Income Statement'!I25/'Income Statement'!$I$2)</f>
        <v>8.0018134421398615E-2</v>
      </c>
      <c r="J25" s="37">
        <f>('Income Statement'!J25/'Income Statement'!$J$2)</f>
        <v>0.1169057921506111</v>
      </c>
      <c r="K25" s="37">
        <f>('Income Statement'!K25/'Income Statement'!$K$2)</f>
        <v>0.13208252820544786</v>
      </c>
      <c r="L25" s="37">
        <f>('Income Statement'!L25/'Income Statement'!$L$2)</f>
        <v>0.13249700119952018</v>
      </c>
      <c r="M25" s="37">
        <f>('Income Statement'!M25/'Income Statement'!$M$2)</f>
        <v>0.13530089923910538</v>
      </c>
    </row>
    <row r="26" spans="1:13" x14ac:dyDescent="0.3">
      <c r="A26" s="56" t="s">
        <v>231</v>
      </c>
      <c r="B26" s="37">
        <f>('Income Statement'!B26/'Income Statement'!$B$2)</f>
        <v>-7.9936051159072742E-3</v>
      </c>
      <c r="C26" s="37">
        <f>('Income Statement'!C26/'Income Statement'!$C$2)</f>
        <v>3.3294048320565706E-2</v>
      </c>
      <c r="D26" s="37">
        <f>('Income Statement'!D26/'Income Statement'!$D$2)</f>
        <v>1.0878010878010878E-2</v>
      </c>
      <c r="E26" s="37">
        <f>('Income Statement'!E26/'Income Statement'!$E$2)</f>
        <v>5.2447552447552448E-2</v>
      </c>
      <c r="F26" s="37">
        <f>('Income Statement'!F26/'Income Statement'!$F$2)</f>
        <v>5.7394711067580803E-2</v>
      </c>
      <c r="G26" s="37">
        <f>('Income Statement'!G26/'Income Statement'!$G$2)</f>
        <v>6.5778401122019631E-2</v>
      </c>
      <c r="H26" s="37">
        <f>('Income Statement'!H26/'Income Statement'!$H$2)</f>
        <v>5.10077519379845E-2</v>
      </c>
      <c r="I26" s="37">
        <f>('Income Statement'!I26/'Income Statement'!$I$2)</f>
        <v>7.865805281650233E-2</v>
      </c>
      <c r="J26" s="37">
        <f>('Income Statement'!J26/'Income Statement'!$J$2)</f>
        <v>0.11364153951263949</v>
      </c>
      <c r="K26" s="37">
        <f>('Income Statement'!K26/'Income Statement'!$K$2)</f>
        <v>0.1281555818737144</v>
      </c>
      <c r="L26" s="37">
        <f>('Income Statement'!L26/'Income Statement'!$L$2)</f>
        <v>0.12969812075169931</v>
      </c>
      <c r="M26" s="37">
        <f>('Income Statement'!M26/'Income Statement'!$M$2)</f>
        <v>0.14000461148259166</v>
      </c>
    </row>
    <row r="27" spans="1:13" x14ac:dyDescent="0.3">
      <c r="A27" s="56" t="s">
        <v>232</v>
      </c>
      <c r="B27" s="65">
        <v>0.52</v>
      </c>
      <c r="C27" s="65">
        <v>6.22</v>
      </c>
      <c r="D27" s="65">
        <v>-0.55000000000000004</v>
      </c>
      <c r="E27" s="65">
        <v>3.46</v>
      </c>
      <c r="F27" s="65">
        <v>0.47</v>
      </c>
      <c r="G27" s="65">
        <v>0.53</v>
      </c>
      <c r="H27" s="65">
        <v>-0.18</v>
      </c>
      <c r="I27" s="65">
        <v>0.84</v>
      </c>
      <c r="J27" s="65">
        <v>1.18</v>
      </c>
      <c r="K27" s="65">
        <v>0.38</v>
      </c>
      <c r="L27" s="65">
        <v>0.25</v>
      </c>
      <c r="M27" s="65">
        <v>0.11</v>
      </c>
    </row>
    <row r="28" spans="1:13" x14ac:dyDescent="0.3">
      <c r="A28" s="44" t="s">
        <v>233</v>
      </c>
      <c r="B28" s="37">
        <f>('Income Statement'!B28/'Income Statement'!$B$2)</f>
        <v>-3.5971223021582733E-5</v>
      </c>
      <c r="C28" s="37">
        <f>('Income Statement'!C28/'Income Statement'!$C$2)</f>
        <v>1.4731879787860931E-4</v>
      </c>
      <c r="D28" s="37">
        <f>('Income Statement'!D28/'Income Statement'!$D$2)</f>
        <v>3.6260036260036262E-5</v>
      </c>
      <c r="E28" s="37">
        <f>('Income Statement'!E28/'Income Statement'!$E$2)</f>
        <v>1.6983016983016983E-4</v>
      </c>
      <c r="F28" s="37">
        <f>('Income Statement'!F28/'Income Statement'!$F$2)</f>
        <v>1.8609206660137121E-4</v>
      </c>
      <c r="G28" s="37">
        <f>('Income Statement'!G28/'Income Statement'!$G$2)</f>
        <v>2.0196353436185133E-4</v>
      </c>
      <c r="H28" s="37">
        <f>('Income Statement'!H28/'Income Statement'!$H$2)</f>
        <v>1.5658914728682171E-4</v>
      </c>
      <c r="I28" s="37">
        <f>('Income Statement'!I28/'Income Statement'!$I$2)</f>
        <v>2.4254788620650574E-4</v>
      </c>
      <c r="J28" s="37">
        <f>('Income Statement'!J28/'Income Statement'!$J$2)</f>
        <v>3.499582479313748E-4</v>
      </c>
      <c r="K28" s="37">
        <f>('Income Statement'!K28/'Income Statement'!$K$2)</f>
        <v>3.9456460761702925E-4</v>
      </c>
      <c r="L28" s="37">
        <f>('Income Statement'!L28/'Income Statement'!$L$2)</f>
        <v>3.8334666133546579E-4</v>
      </c>
      <c r="M28" s="37">
        <f>('Income Statement'!M28/'Income Statement'!$M$2)</f>
        <v>4.1411113673045887E-4</v>
      </c>
    </row>
    <row r="29" spans="1:13" x14ac:dyDescent="0.3">
      <c r="A29" s="46" t="s">
        <v>234</v>
      </c>
      <c r="B29" s="65">
        <v>0</v>
      </c>
      <c r="C29" s="65">
        <v>0</v>
      </c>
      <c r="D29" s="65">
        <v>0</v>
      </c>
      <c r="E29" s="65">
        <v>0.22</v>
      </c>
      <c r="F29" s="65">
        <v>0.16</v>
      </c>
      <c r="G29" s="65">
        <v>0.15</v>
      </c>
      <c r="H29" s="65">
        <v>0.22</v>
      </c>
      <c r="I29" s="65">
        <v>0.16</v>
      </c>
      <c r="J29" s="65">
        <v>0.15</v>
      </c>
      <c r="K29" s="65">
        <v>0.16</v>
      </c>
      <c r="L29" s="65">
        <v>0.13</v>
      </c>
      <c r="M29" s="65">
        <v>0.17</v>
      </c>
    </row>
  </sheetData>
  <pageMargins left="0.7" right="0.7" top="0.75" bottom="0.75" header="0.511811023622047" footer="0.511811023622047"/>
  <pageSetup paperSize="9" orientation="portrait" horizontalDpi="300" verticalDpi="30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M35"/>
  <sheetViews>
    <sheetView showGridLines="0" zoomScale="70" zoomScaleNormal="70" workbookViewId="0">
      <pane ySplit="1" topLeftCell="A2" activePane="bottomLeft" state="frozen"/>
      <selection pane="bottomLeft" activeCell="M66" sqref="M66"/>
    </sheetView>
  </sheetViews>
  <sheetFormatPr defaultColWidth="8.6640625" defaultRowHeight="14.4" x14ac:dyDescent="0.3"/>
  <cols>
    <col min="1" max="1" width="34.109375" style="8" customWidth="1"/>
  </cols>
  <sheetData>
    <row r="1" spans="1:13" ht="15" customHeight="1" x14ac:dyDescent="0.3">
      <c r="B1" s="43">
        <v>41974</v>
      </c>
      <c r="C1" s="43">
        <v>42339</v>
      </c>
      <c r="D1" s="43">
        <v>42705</v>
      </c>
      <c r="E1" s="43">
        <v>43070</v>
      </c>
      <c r="F1" s="43">
        <v>43435</v>
      </c>
      <c r="G1" s="43">
        <v>43800</v>
      </c>
      <c r="H1" s="43">
        <v>44166</v>
      </c>
      <c r="I1" s="43">
        <v>44531</v>
      </c>
      <c r="J1" s="43">
        <v>44896</v>
      </c>
      <c r="K1" s="43">
        <v>45261</v>
      </c>
      <c r="L1" s="43">
        <v>45627</v>
      </c>
      <c r="M1" s="43">
        <v>45992</v>
      </c>
    </row>
    <row r="2" spans="1:13" ht="15" customHeight="1" x14ac:dyDescent="0.3">
      <c r="A2" s="49" t="s">
        <v>399</v>
      </c>
      <c r="B2" s="58">
        <v>431</v>
      </c>
      <c r="C2" s="58">
        <v>555</v>
      </c>
      <c r="D2" s="58">
        <v>826</v>
      </c>
      <c r="E2" s="58">
        <v>620</v>
      </c>
      <c r="F2" s="50">
        <v>1000</v>
      </c>
      <c r="G2" s="50">
        <v>1308</v>
      </c>
      <c r="H2" s="50">
        <v>1012</v>
      </c>
      <c r="I2" s="50">
        <v>1231</v>
      </c>
      <c r="J2" s="50">
        <v>1790</v>
      </c>
      <c r="K2" s="50">
        <v>2391</v>
      </c>
      <c r="L2" s="50">
        <v>3381</v>
      </c>
      <c r="M2" s="50">
        <v>3509</v>
      </c>
    </row>
    <row r="3" spans="1:13" x14ac:dyDescent="0.3">
      <c r="A3" s="59" t="s">
        <v>400</v>
      </c>
      <c r="B3" s="58">
        <v>397</v>
      </c>
      <c r="C3" s="58">
        <v>645</v>
      </c>
      <c r="D3" s="58">
        <v>820</v>
      </c>
      <c r="E3" s="58">
        <v>873</v>
      </c>
      <c r="F3" s="50">
        <v>1123</v>
      </c>
      <c r="G3" s="50">
        <v>1513</v>
      </c>
      <c r="H3" s="50">
        <v>1200</v>
      </c>
      <c r="I3" s="50">
        <v>1624</v>
      </c>
      <c r="J3" s="50">
        <v>2749</v>
      </c>
      <c r="K3" s="50">
        <v>3732</v>
      </c>
      <c r="L3" s="50">
        <v>4778</v>
      </c>
      <c r="M3" s="50">
        <v>4969</v>
      </c>
    </row>
    <row r="4" spans="1:13" x14ac:dyDescent="0.3">
      <c r="A4" s="51" t="s">
        <v>401</v>
      </c>
      <c r="B4" s="45">
        <v>-38</v>
      </c>
      <c r="C4" s="45">
        <v>0</v>
      </c>
      <c r="D4" s="45">
        <v>7</v>
      </c>
      <c r="E4" s="45">
        <v>-34</v>
      </c>
      <c r="F4" s="45">
        <v>-13</v>
      </c>
      <c r="G4" s="45">
        <v>-32</v>
      </c>
      <c r="H4" s="45">
        <v>-76</v>
      </c>
      <c r="I4" s="45">
        <v>15</v>
      </c>
      <c r="J4" s="45">
        <v>-123</v>
      </c>
      <c r="K4" s="45">
        <v>-73</v>
      </c>
      <c r="L4" s="45">
        <v>-133</v>
      </c>
      <c r="M4" s="45">
        <v>-285</v>
      </c>
    </row>
    <row r="5" spans="1:13" x14ac:dyDescent="0.3">
      <c r="A5" s="51" t="s">
        <v>402</v>
      </c>
      <c r="B5" s="45">
        <v>-43</v>
      </c>
      <c r="C5" s="45">
        <v>-135</v>
      </c>
      <c r="D5" s="45">
        <v>-39</v>
      </c>
      <c r="E5" s="45">
        <v>45</v>
      </c>
      <c r="F5" s="45">
        <v>-151</v>
      </c>
      <c r="G5" s="45">
        <v>-185</v>
      </c>
      <c r="H5" s="45">
        <v>-47</v>
      </c>
      <c r="I5" s="45">
        <v>-519</v>
      </c>
      <c r="J5" s="45">
        <v>-557</v>
      </c>
      <c r="K5" s="45">
        <v>-160</v>
      </c>
      <c r="L5" s="45">
        <v>-479</v>
      </c>
      <c r="M5" s="45">
        <v>15</v>
      </c>
    </row>
    <row r="6" spans="1:13" x14ac:dyDescent="0.3">
      <c r="A6" s="51" t="s">
        <v>403</v>
      </c>
      <c r="B6" s="45">
        <v>86</v>
      </c>
      <c r="C6" s="45">
        <v>149</v>
      </c>
      <c r="D6" s="45">
        <v>0</v>
      </c>
      <c r="E6" s="45">
        <v>0</v>
      </c>
      <c r="F6" s="45">
        <v>0</v>
      </c>
      <c r="G6" s="45">
        <v>0</v>
      </c>
      <c r="H6" s="45">
        <v>0</v>
      </c>
      <c r="I6" s="45">
        <v>0</v>
      </c>
      <c r="J6" s="45">
        <v>0</v>
      </c>
      <c r="K6" s="45">
        <v>0</v>
      </c>
      <c r="L6" s="45">
        <v>0</v>
      </c>
      <c r="M6" s="45">
        <v>0</v>
      </c>
    </row>
    <row r="7" spans="1:13" x14ac:dyDescent="0.3">
      <c r="A7" s="51" t="s">
        <v>404</v>
      </c>
      <c r="B7" s="45">
        <v>39</v>
      </c>
      <c r="C7" s="45">
        <v>-56</v>
      </c>
      <c r="D7" s="45">
        <v>0</v>
      </c>
      <c r="E7" s="45">
        <v>0</v>
      </c>
      <c r="F7" s="45">
        <v>0</v>
      </c>
      <c r="G7" s="45">
        <v>0</v>
      </c>
      <c r="H7" s="45">
        <v>0</v>
      </c>
      <c r="I7" s="45">
        <v>0</v>
      </c>
      <c r="J7" s="45">
        <v>0</v>
      </c>
      <c r="K7" s="45">
        <v>0</v>
      </c>
      <c r="L7" s="45">
        <v>0</v>
      </c>
      <c r="M7" s="45">
        <v>0</v>
      </c>
    </row>
    <row r="8" spans="1:13" ht="15" customHeight="1" x14ac:dyDescent="0.3">
      <c r="A8" s="51" t="s">
        <v>405</v>
      </c>
      <c r="B8" s="45">
        <v>0</v>
      </c>
      <c r="C8" s="45">
        <v>0</v>
      </c>
      <c r="D8" s="45">
        <v>95</v>
      </c>
      <c r="E8" s="45">
        <v>-207</v>
      </c>
      <c r="F8" s="45">
        <v>114</v>
      </c>
      <c r="G8" s="45">
        <v>132</v>
      </c>
      <c r="H8" s="45">
        <v>12</v>
      </c>
      <c r="I8" s="45">
        <v>236</v>
      </c>
      <c r="J8" s="45">
        <v>95</v>
      </c>
      <c r="K8" s="45">
        <v>-440</v>
      </c>
      <c r="L8" s="45">
        <v>-57</v>
      </c>
      <c r="M8" s="45">
        <v>-301</v>
      </c>
    </row>
    <row r="9" spans="1:13" x14ac:dyDescent="0.3">
      <c r="A9" s="59" t="s">
        <v>406</v>
      </c>
      <c r="B9" s="58">
        <v>44</v>
      </c>
      <c r="C9" s="58">
        <v>-42</v>
      </c>
      <c r="D9" s="58">
        <v>64</v>
      </c>
      <c r="E9" s="58">
        <v>-197</v>
      </c>
      <c r="F9" s="58">
        <v>-50</v>
      </c>
      <c r="G9" s="58">
        <v>-85</v>
      </c>
      <c r="H9" s="58">
        <v>-111</v>
      </c>
      <c r="I9" s="58">
        <v>-269</v>
      </c>
      <c r="J9" s="58">
        <v>-585</v>
      </c>
      <c r="K9" s="58">
        <v>-673</v>
      </c>
      <c r="L9" s="58">
        <v>-669</v>
      </c>
      <c r="M9" s="58">
        <v>-571</v>
      </c>
    </row>
    <row r="10" spans="1:13" ht="15" customHeight="1" x14ac:dyDescent="0.3">
      <c r="A10" s="51" t="s">
        <v>407</v>
      </c>
      <c r="B10" s="45">
        <v>-11</v>
      </c>
      <c r="C10" s="45">
        <v>-48</v>
      </c>
      <c r="D10" s="45">
        <v>-58</v>
      </c>
      <c r="E10" s="45">
        <v>-57</v>
      </c>
      <c r="F10" s="45">
        <v>-73</v>
      </c>
      <c r="G10" s="45">
        <v>-120</v>
      </c>
      <c r="H10" s="45">
        <v>-78</v>
      </c>
      <c r="I10" s="45">
        <v>-124</v>
      </c>
      <c r="J10" s="45">
        <v>-373</v>
      </c>
      <c r="K10" s="45">
        <v>-668</v>
      </c>
      <c r="L10" s="45">
        <v>-728</v>
      </c>
      <c r="M10" s="45">
        <v>-888</v>
      </c>
    </row>
    <row r="11" spans="1:13" x14ac:dyDescent="0.3">
      <c r="A11" s="53" t="s">
        <v>408</v>
      </c>
      <c r="B11" s="54">
        <v>-500</v>
      </c>
      <c r="C11" s="54">
        <v>-300</v>
      </c>
      <c r="D11" s="55">
        <v>-1048</v>
      </c>
      <c r="E11" s="54">
        <v>-746</v>
      </c>
      <c r="F11" s="54">
        <v>-937</v>
      </c>
      <c r="G11" s="55">
        <v>-2320</v>
      </c>
      <c r="H11" s="54">
        <v>-472</v>
      </c>
      <c r="I11" s="55">
        <v>-1008</v>
      </c>
      <c r="J11" s="55">
        <v>-1769</v>
      </c>
      <c r="K11" s="55">
        <v>-3288</v>
      </c>
      <c r="L11" s="55">
        <v>-4311</v>
      </c>
      <c r="M11" s="55">
        <v>-2725</v>
      </c>
    </row>
    <row r="12" spans="1:13" x14ac:dyDescent="0.3">
      <c r="A12" s="56" t="s">
        <v>409</v>
      </c>
      <c r="B12" s="47">
        <v>-220</v>
      </c>
      <c r="C12" s="47">
        <v>-269</v>
      </c>
      <c r="D12" s="47">
        <v>-792</v>
      </c>
      <c r="E12" s="47">
        <v>-533</v>
      </c>
      <c r="F12" s="47">
        <v>-859</v>
      </c>
      <c r="G12" s="47">
        <v>-754</v>
      </c>
      <c r="H12" s="47">
        <v>-560</v>
      </c>
      <c r="I12" s="47">
        <v>-835</v>
      </c>
      <c r="J12" s="48">
        <v>-1801</v>
      </c>
      <c r="K12" s="48">
        <v>-3264</v>
      </c>
      <c r="L12" s="48">
        <v>-3779</v>
      </c>
      <c r="M12" s="48">
        <v>-2739</v>
      </c>
    </row>
    <row r="13" spans="1:13" x14ac:dyDescent="0.3">
      <c r="A13" s="56" t="s">
        <v>410</v>
      </c>
      <c r="B13" s="47">
        <v>0</v>
      </c>
      <c r="C13" s="47">
        <v>4</v>
      </c>
      <c r="D13" s="47">
        <v>12</v>
      </c>
      <c r="E13" s="47">
        <v>17</v>
      </c>
      <c r="F13" s="47">
        <v>50</v>
      </c>
      <c r="G13" s="47">
        <v>21</v>
      </c>
      <c r="H13" s="47">
        <v>24</v>
      </c>
      <c r="I13" s="47">
        <v>19</v>
      </c>
      <c r="J13" s="47">
        <v>51</v>
      </c>
      <c r="K13" s="47">
        <v>70</v>
      </c>
      <c r="L13" s="47">
        <v>39</v>
      </c>
      <c r="M13" s="47">
        <v>27</v>
      </c>
    </row>
    <row r="14" spans="1:13" x14ac:dyDescent="0.3">
      <c r="A14" s="56" t="s">
        <v>411</v>
      </c>
      <c r="B14" s="47">
        <v>-302</v>
      </c>
      <c r="C14" s="47">
        <v>-550</v>
      </c>
      <c r="D14" s="47">
        <v>-35</v>
      </c>
      <c r="E14" s="47">
        <v>-35</v>
      </c>
      <c r="F14" s="47">
        <v>0</v>
      </c>
      <c r="G14" s="47">
        <v>-73</v>
      </c>
      <c r="H14" s="47">
        <v>0</v>
      </c>
      <c r="I14" s="47">
        <v>0</v>
      </c>
      <c r="J14" s="47">
        <v>0</v>
      </c>
      <c r="K14" s="47">
        <v>0</v>
      </c>
      <c r="L14" s="47">
        <v>0</v>
      </c>
      <c r="M14" s="47">
        <v>0</v>
      </c>
    </row>
    <row r="15" spans="1:13" x14ac:dyDescent="0.3">
      <c r="A15" s="56" t="s">
        <v>412</v>
      </c>
      <c r="B15" s="47">
        <v>8</v>
      </c>
      <c r="C15" s="47">
        <v>512</v>
      </c>
      <c r="D15" s="47">
        <v>35</v>
      </c>
      <c r="E15" s="47">
        <v>35</v>
      </c>
      <c r="F15" s="47">
        <v>0</v>
      </c>
      <c r="G15" s="47">
        <v>73</v>
      </c>
      <c r="H15" s="47">
        <v>0</v>
      </c>
      <c r="I15" s="47">
        <v>0</v>
      </c>
      <c r="J15" s="47">
        <v>0</v>
      </c>
      <c r="K15" s="47">
        <v>0</v>
      </c>
      <c r="L15" s="47">
        <v>2</v>
      </c>
      <c r="M15" s="47">
        <v>81</v>
      </c>
    </row>
    <row r="16" spans="1:13" x14ac:dyDescent="0.3">
      <c r="A16" s="56" t="s">
        <v>413</v>
      </c>
      <c r="B16" s="47">
        <v>12</v>
      </c>
      <c r="C16" s="47">
        <v>6</v>
      </c>
      <c r="D16" s="47">
        <v>8</v>
      </c>
      <c r="E16" s="47">
        <v>5</v>
      </c>
      <c r="F16" s="47">
        <v>6</v>
      </c>
      <c r="G16" s="47">
        <v>5</v>
      </c>
      <c r="H16" s="47">
        <v>9</v>
      </c>
      <c r="I16" s="47">
        <v>13</v>
      </c>
      <c r="J16" s="47">
        <v>23</v>
      </c>
      <c r="K16" s="47">
        <v>22</v>
      </c>
      <c r="L16" s="47">
        <v>28</v>
      </c>
      <c r="M16" s="47">
        <v>46</v>
      </c>
    </row>
    <row r="17" spans="1:13" x14ac:dyDescent="0.3">
      <c r="A17" s="56" t="s">
        <v>414</v>
      </c>
      <c r="B17" s="47">
        <v>2</v>
      </c>
      <c r="C17" s="47">
        <v>0</v>
      </c>
      <c r="D17" s="47">
        <v>0</v>
      </c>
      <c r="E17" s="47">
        <v>0</v>
      </c>
      <c r="F17" s="47">
        <v>0</v>
      </c>
      <c r="G17" s="47">
        <v>0</v>
      </c>
      <c r="H17" s="47">
        <v>0</v>
      </c>
      <c r="I17" s="47">
        <v>0</v>
      </c>
      <c r="J17" s="47">
        <v>0</v>
      </c>
      <c r="K17" s="47">
        <v>0</v>
      </c>
      <c r="L17" s="47">
        <v>0</v>
      </c>
      <c r="M17" s="47">
        <v>0</v>
      </c>
    </row>
    <row r="18" spans="1:13" x14ac:dyDescent="0.3">
      <c r="A18" s="56" t="s">
        <v>415</v>
      </c>
      <c r="B18" s="47">
        <v>0</v>
      </c>
      <c r="C18" s="47">
        <v>0</v>
      </c>
      <c r="D18" s="47">
        <v>0</v>
      </c>
      <c r="E18" s="47">
        <v>0</v>
      </c>
      <c r="F18" s="47">
        <v>0</v>
      </c>
      <c r="G18" s="47">
        <v>0</v>
      </c>
      <c r="H18" s="47">
        <v>0</v>
      </c>
      <c r="I18" s="47">
        <v>0</v>
      </c>
      <c r="J18" s="47">
        <v>0</v>
      </c>
      <c r="K18" s="47">
        <v>-22</v>
      </c>
      <c r="L18" s="47">
        <v>-40</v>
      </c>
      <c r="M18" s="47">
        <v>-121</v>
      </c>
    </row>
    <row r="19" spans="1:13" x14ac:dyDescent="0.3">
      <c r="A19" s="56" t="s">
        <v>416</v>
      </c>
      <c r="B19" s="47">
        <v>0</v>
      </c>
      <c r="C19" s="47">
        <v>0</v>
      </c>
      <c r="D19" s="47">
        <v>-276</v>
      </c>
      <c r="E19" s="47">
        <v>-212</v>
      </c>
      <c r="F19" s="47">
        <v>0</v>
      </c>
      <c r="G19" s="47">
        <v>-8</v>
      </c>
      <c r="H19" s="47">
        <v>0</v>
      </c>
      <c r="I19" s="47">
        <v>0</v>
      </c>
      <c r="J19" s="47">
        <v>0</v>
      </c>
      <c r="K19" s="47">
        <v>-10</v>
      </c>
      <c r="L19" s="47">
        <v>-200</v>
      </c>
      <c r="M19" s="47">
        <v>0</v>
      </c>
    </row>
    <row r="20" spans="1:13" ht="15" customHeight="1" x14ac:dyDescent="0.3">
      <c r="A20" s="56" t="s">
        <v>417</v>
      </c>
      <c r="B20" s="47">
        <v>0</v>
      </c>
      <c r="C20" s="47">
        <v>-4</v>
      </c>
      <c r="D20" s="47">
        <v>0</v>
      </c>
      <c r="E20" s="47">
        <v>-23</v>
      </c>
      <c r="F20" s="47">
        <v>-134</v>
      </c>
      <c r="G20" s="48">
        <v>-1583</v>
      </c>
      <c r="H20" s="47">
        <v>55</v>
      </c>
      <c r="I20" s="47">
        <v>-205</v>
      </c>
      <c r="J20" s="47">
        <v>-42</v>
      </c>
      <c r="K20" s="47">
        <v>-85</v>
      </c>
      <c r="L20" s="47">
        <v>-361</v>
      </c>
      <c r="M20" s="47">
        <v>-18</v>
      </c>
    </row>
    <row r="21" spans="1:13" x14ac:dyDescent="0.3">
      <c r="A21" s="49" t="s">
        <v>418</v>
      </c>
      <c r="B21" s="58">
        <v>58</v>
      </c>
      <c r="C21" s="58">
        <v>-236</v>
      </c>
      <c r="D21" s="58">
        <v>230</v>
      </c>
      <c r="E21" s="58">
        <v>159</v>
      </c>
      <c r="F21" s="58">
        <v>-84</v>
      </c>
      <c r="G21" s="50">
        <v>1107</v>
      </c>
      <c r="H21" s="58">
        <v>-574</v>
      </c>
      <c r="I21" s="58">
        <v>-178</v>
      </c>
      <c r="J21" s="58">
        <v>-18</v>
      </c>
      <c r="K21" s="58">
        <v>985</v>
      </c>
      <c r="L21" s="50">
        <v>2954</v>
      </c>
      <c r="M21" s="50">
        <v>-1266</v>
      </c>
    </row>
    <row r="22" spans="1:13" x14ac:dyDescent="0.3">
      <c r="A22" s="51" t="s">
        <v>419</v>
      </c>
      <c r="B22" s="45">
        <v>240</v>
      </c>
      <c r="C22" s="45">
        <v>0</v>
      </c>
      <c r="D22" s="45">
        <v>701</v>
      </c>
      <c r="E22" s="45">
        <v>4</v>
      </c>
      <c r="F22" s="45">
        <v>1</v>
      </c>
      <c r="G22" s="45">
        <v>900</v>
      </c>
      <c r="H22" s="45">
        <v>0</v>
      </c>
      <c r="I22" s="45">
        <v>0</v>
      </c>
      <c r="J22" s="45">
        <v>0</v>
      </c>
      <c r="K22" s="45">
        <v>4</v>
      </c>
      <c r="L22" s="52">
        <v>7512</v>
      </c>
      <c r="M22" s="45">
        <v>9</v>
      </c>
    </row>
    <row r="23" spans="1:13" x14ac:dyDescent="0.3">
      <c r="A23" s="51" t="s">
        <v>420</v>
      </c>
      <c r="B23" s="45">
        <v>0</v>
      </c>
      <c r="C23" s="45">
        <v>320</v>
      </c>
      <c r="D23" s="45">
        <v>180</v>
      </c>
      <c r="E23" s="45">
        <v>300</v>
      </c>
      <c r="F23" s="45">
        <v>0</v>
      </c>
      <c r="G23" s="45">
        <v>0</v>
      </c>
      <c r="H23" s="45">
        <v>0</v>
      </c>
      <c r="I23" s="45">
        <v>0</v>
      </c>
      <c r="J23" s="45">
        <v>0</v>
      </c>
      <c r="K23" s="45">
        <v>0</v>
      </c>
      <c r="L23" s="45">
        <v>0</v>
      </c>
      <c r="M23" s="45">
        <v>0</v>
      </c>
    </row>
    <row r="24" spans="1:13" x14ac:dyDescent="0.3">
      <c r="A24" s="51" t="s">
        <v>421</v>
      </c>
      <c r="B24" s="45">
        <v>0</v>
      </c>
      <c r="C24" s="45">
        <v>0</v>
      </c>
      <c r="D24" s="45">
        <v>-500</v>
      </c>
      <c r="E24" s="45">
        <v>0</v>
      </c>
      <c r="F24" s="45">
        <v>-300</v>
      </c>
      <c r="G24" s="45">
        <v>0</v>
      </c>
      <c r="H24" s="45">
        <v>0</v>
      </c>
      <c r="I24" s="45">
        <v>0</v>
      </c>
      <c r="J24" s="45">
        <v>0</v>
      </c>
      <c r="K24" s="45">
        <v>0</v>
      </c>
      <c r="L24" s="45">
        <v>0</v>
      </c>
      <c r="M24" s="45">
        <v>0</v>
      </c>
    </row>
    <row r="25" spans="1:13" x14ac:dyDescent="0.3">
      <c r="A25" s="51" t="s">
        <v>422</v>
      </c>
      <c r="B25" s="45">
        <v>171</v>
      </c>
      <c r="C25" s="45">
        <v>332</v>
      </c>
      <c r="D25" s="45">
        <v>0</v>
      </c>
      <c r="E25" s="45">
        <v>0</v>
      </c>
      <c r="F25" s="52">
        <v>1400</v>
      </c>
      <c r="G25" s="52">
        <v>1958</v>
      </c>
      <c r="H25" s="52">
        <v>1020</v>
      </c>
      <c r="I25" s="45">
        <v>855</v>
      </c>
      <c r="J25" s="52">
        <v>1478</v>
      </c>
      <c r="K25" s="52">
        <v>2783</v>
      </c>
      <c r="L25" s="52">
        <v>1957</v>
      </c>
      <c r="M25" s="45">
        <v>384</v>
      </c>
    </row>
    <row r="26" spans="1:13" x14ac:dyDescent="0.3">
      <c r="A26" s="51" t="s">
        <v>423</v>
      </c>
      <c r="B26" s="45">
        <v>-87</v>
      </c>
      <c r="C26" s="45">
        <v>-997</v>
      </c>
      <c r="D26" s="45">
        <v>71</v>
      </c>
      <c r="E26" s="45">
        <v>-57</v>
      </c>
      <c r="F26" s="45">
        <v>-644</v>
      </c>
      <c r="G26" s="52">
        <v>-1310</v>
      </c>
      <c r="H26" s="52">
        <v>-1233</v>
      </c>
      <c r="I26" s="45">
        <v>-726</v>
      </c>
      <c r="J26" s="52">
        <v>-1138</v>
      </c>
      <c r="K26" s="52">
        <v>-1277</v>
      </c>
      <c r="L26" s="52">
        <v>-5508</v>
      </c>
      <c r="M26" s="45">
        <v>-885</v>
      </c>
    </row>
    <row r="27" spans="1:13" x14ac:dyDescent="0.3">
      <c r="A27" s="51" t="s">
        <v>424</v>
      </c>
      <c r="B27" s="45">
        <v>-186</v>
      </c>
      <c r="C27" s="45">
        <v>-141</v>
      </c>
      <c r="D27" s="45">
        <v>-219</v>
      </c>
      <c r="E27" s="45">
        <v>-156</v>
      </c>
      <c r="F27" s="45">
        <v>-189</v>
      </c>
      <c r="G27" s="45">
        <v>-303</v>
      </c>
      <c r="H27" s="45">
        <v>-277</v>
      </c>
      <c r="I27" s="45">
        <v>-179</v>
      </c>
      <c r="J27" s="45">
        <v>-172</v>
      </c>
      <c r="K27" s="45">
        <v>-269</v>
      </c>
      <c r="L27" s="45">
        <v>-465</v>
      </c>
      <c r="M27" s="45">
        <v>-159</v>
      </c>
    </row>
    <row r="28" spans="1:13" x14ac:dyDescent="0.3">
      <c r="A28" s="51" t="s">
        <v>425</v>
      </c>
      <c r="B28" s="45">
        <v>0</v>
      </c>
      <c r="C28" s="45">
        <v>0</v>
      </c>
      <c r="D28" s="45">
        <v>0</v>
      </c>
      <c r="E28" s="45">
        <v>-46</v>
      </c>
      <c r="F28" s="45">
        <v>-46</v>
      </c>
      <c r="G28" s="45">
        <v>-69</v>
      </c>
      <c r="H28" s="45">
        <v>-72</v>
      </c>
      <c r="I28" s="45">
        <v>-108</v>
      </c>
      <c r="J28" s="45">
        <v>-162</v>
      </c>
      <c r="K28" s="45">
        <v>-227</v>
      </c>
      <c r="L28" s="45">
        <v>-325</v>
      </c>
      <c r="M28" s="45">
        <v>-507</v>
      </c>
    </row>
    <row r="29" spans="1:13" x14ac:dyDescent="0.3">
      <c r="A29" s="51" t="s">
        <v>426</v>
      </c>
      <c r="B29" s="45">
        <v>0</v>
      </c>
      <c r="C29" s="45">
        <v>0</v>
      </c>
      <c r="D29" s="45">
        <v>0</v>
      </c>
      <c r="E29" s="45">
        <v>0</v>
      </c>
      <c r="F29" s="45">
        <v>0</v>
      </c>
      <c r="G29" s="45">
        <v>0</v>
      </c>
      <c r="H29" s="45">
        <v>-11</v>
      </c>
      <c r="I29" s="45">
        <v>-19</v>
      </c>
      <c r="J29" s="45">
        <v>-23</v>
      </c>
      <c r="K29" s="45">
        <v>-30</v>
      </c>
      <c r="L29" s="45">
        <v>-156</v>
      </c>
      <c r="M29" s="45">
        <v>-108</v>
      </c>
    </row>
    <row r="30" spans="1:13" x14ac:dyDescent="0.3">
      <c r="A30" s="51" t="s">
        <v>427</v>
      </c>
      <c r="B30" s="45">
        <v>0</v>
      </c>
      <c r="C30" s="45">
        <v>0</v>
      </c>
      <c r="D30" s="45">
        <v>0</v>
      </c>
      <c r="E30" s="45">
        <v>0</v>
      </c>
      <c r="F30" s="45">
        <v>0</v>
      </c>
      <c r="G30" s="45">
        <v>0</v>
      </c>
      <c r="H30" s="45">
        <v>0</v>
      </c>
      <c r="I30" s="45">
        <v>0</v>
      </c>
      <c r="J30" s="45">
        <v>0</v>
      </c>
      <c r="K30" s="45">
        <v>0</v>
      </c>
      <c r="L30" s="45">
        <v>0</v>
      </c>
      <c r="M30" s="45">
        <v>0</v>
      </c>
    </row>
    <row r="31" spans="1:13" x14ac:dyDescent="0.3">
      <c r="A31" s="51" t="s">
        <v>428</v>
      </c>
      <c r="B31" s="45">
        <v>0</v>
      </c>
      <c r="C31" s="45">
        <v>0</v>
      </c>
      <c r="D31" s="45">
        <v>-21</v>
      </c>
      <c r="E31" s="45">
        <v>0</v>
      </c>
      <c r="F31" s="45">
        <v>0</v>
      </c>
      <c r="G31" s="45">
        <v>0</v>
      </c>
      <c r="H31" s="45">
        <v>0</v>
      </c>
      <c r="I31" s="45">
        <v>0</v>
      </c>
      <c r="J31" s="45">
        <v>0</v>
      </c>
      <c r="K31" s="45">
        <v>0</v>
      </c>
      <c r="L31" s="45">
        <v>0</v>
      </c>
      <c r="M31" s="45">
        <v>0</v>
      </c>
    </row>
    <row r="32" spans="1:13" ht="15" customHeight="1" x14ac:dyDescent="0.3">
      <c r="A32" s="51" t="s">
        <v>429</v>
      </c>
      <c r="B32" s="45">
        <v>-80</v>
      </c>
      <c r="C32" s="45">
        <v>250</v>
      </c>
      <c r="D32" s="45">
        <v>17</v>
      </c>
      <c r="E32" s="45">
        <v>113</v>
      </c>
      <c r="F32" s="45">
        <v>-308</v>
      </c>
      <c r="G32" s="45">
        <v>-69</v>
      </c>
      <c r="H32" s="45">
        <v>0</v>
      </c>
      <c r="I32" s="45">
        <v>0</v>
      </c>
      <c r="J32" s="45">
        <v>0</v>
      </c>
      <c r="K32" s="45">
        <v>0</v>
      </c>
      <c r="L32" s="45">
        <v>-61</v>
      </c>
      <c r="M32" s="45">
        <v>0</v>
      </c>
    </row>
    <row r="33" spans="1:13" x14ac:dyDescent="0.3">
      <c r="A33" s="53" t="s">
        <v>430</v>
      </c>
      <c r="B33" s="54">
        <v>-11</v>
      </c>
      <c r="C33" s="54">
        <v>19</v>
      </c>
      <c r="D33" s="54">
        <v>8</v>
      </c>
      <c r="E33" s="54">
        <v>32</v>
      </c>
      <c r="F33" s="54">
        <v>-22</v>
      </c>
      <c r="G33" s="54">
        <v>95</v>
      </c>
      <c r="H33" s="54">
        <v>-33</v>
      </c>
      <c r="I33" s="54">
        <v>46</v>
      </c>
      <c r="J33" s="54">
        <v>4</v>
      </c>
      <c r="K33" s="54">
        <v>88</v>
      </c>
      <c r="L33" s="55">
        <v>2024</v>
      </c>
      <c r="M33" s="54">
        <v>-482</v>
      </c>
    </row>
    <row r="34" spans="1:13" x14ac:dyDescent="0.3">
      <c r="A34" s="68" t="s">
        <v>431</v>
      </c>
      <c r="B34" s="69">
        <v>211</v>
      </c>
      <c r="C34" s="69">
        <v>290</v>
      </c>
      <c r="D34" s="69">
        <v>45</v>
      </c>
      <c r="E34" s="69">
        <v>103</v>
      </c>
      <c r="F34" s="69">
        <v>191</v>
      </c>
      <c r="G34" s="69">
        <v>575</v>
      </c>
      <c r="H34" s="69">
        <v>476</v>
      </c>
      <c r="I34" s="69">
        <v>416</v>
      </c>
      <c r="J34" s="69">
        <v>40</v>
      </c>
      <c r="K34" s="69">
        <v>-803</v>
      </c>
      <c r="L34" s="69">
        <v>-359</v>
      </c>
      <c r="M34" s="69">
        <v>797</v>
      </c>
    </row>
    <row r="35" spans="1:13" x14ac:dyDescent="0.3">
      <c r="A35" s="70" t="s">
        <v>432</v>
      </c>
      <c r="B35" s="71">
        <v>1.1399999999999999</v>
      </c>
      <c r="C35" s="71">
        <v>0.94</v>
      </c>
      <c r="D35" s="71">
        <v>1.0900000000000001</v>
      </c>
      <c r="E35" s="71">
        <v>0.81</v>
      </c>
      <c r="F35" s="71">
        <v>1.04</v>
      </c>
      <c r="G35" s="71">
        <v>0.98</v>
      </c>
      <c r="H35" s="71">
        <v>0.9</v>
      </c>
      <c r="I35" s="71">
        <v>0.8</v>
      </c>
      <c r="J35" s="71">
        <v>0.76</v>
      </c>
      <c r="K35" s="71">
        <v>0.82</v>
      </c>
      <c r="L35" s="71">
        <v>0.85</v>
      </c>
      <c r="M35" s="71">
        <v>0.87</v>
      </c>
    </row>
  </sheetData>
  <pageMargins left="0.7" right="0.7" top="0.75" bottom="0.75" header="0.511811023622047" footer="0.511811023622047"/>
  <pageSetup paperSize="9" orientation="portrait" horizontalDpi="300" verticalDpi="30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J29"/>
  <sheetViews>
    <sheetView showGridLines="0" zoomScaleNormal="100" workbookViewId="0">
      <pane ySplit="1" topLeftCell="A2" activePane="bottomLeft" state="frozen"/>
      <selection pane="bottomLeft" activeCell="M9" sqref="M9"/>
    </sheetView>
  </sheetViews>
  <sheetFormatPr defaultColWidth="8.6640625" defaultRowHeight="14.4" x14ac:dyDescent="0.3"/>
  <cols>
    <col min="1" max="1" width="31.109375" style="8" customWidth="1"/>
    <col min="2" max="4" width="9.5546875" style="8" customWidth="1"/>
    <col min="5" max="8" width="10.5546875" style="8" customWidth="1"/>
  </cols>
  <sheetData>
    <row r="1" spans="1:8" ht="15" customHeight="1" x14ac:dyDescent="0.3">
      <c r="B1" s="43">
        <v>43800</v>
      </c>
      <c r="C1" s="43">
        <v>44166</v>
      </c>
      <c r="D1" s="43">
        <v>44531</v>
      </c>
      <c r="E1" s="43">
        <v>44896</v>
      </c>
      <c r="F1" s="43">
        <v>45261</v>
      </c>
      <c r="G1" s="43">
        <v>45627</v>
      </c>
      <c r="H1" s="43">
        <v>45992</v>
      </c>
    </row>
    <row r="2" spans="1:8" x14ac:dyDescent="0.3">
      <c r="A2" s="1" t="s">
        <v>442</v>
      </c>
      <c r="B2" s="1"/>
      <c r="C2" s="1"/>
      <c r="D2" s="1"/>
      <c r="E2" s="1"/>
      <c r="F2" s="1"/>
      <c r="G2" s="1"/>
      <c r="H2" s="1"/>
    </row>
    <row r="3" spans="1:8" x14ac:dyDescent="0.3">
      <c r="A3" s="8" t="s">
        <v>443</v>
      </c>
      <c r="B3" s="8">
        <v>203</v>
      </c>
      <c r="C3" s="8">
        <v>265</v>
      </c>
      <c r="D3" s="8">
        <v>659</v>
      </c>
      <c r="E3" s="8">
        <v>1447</v>
      </c>
      <c r="F3" s="8">
        <v>2015</v>
      </c>
      <c r="G3" s="8">
        <v>4808</v>
      </c>
      <c r="H3" s="8">
        <v>3815</v>
      </c>
    </row>
    <row r="4" spans="1:8" x14ac:dyDescent="0.3">
      <c r="A4" s="8" t="s">
        <v>444</v>
      </c>
      <c r="B4" s="67">
        <v>8375.6</v>
      </c>
      <c r="C4" s="67">
        <v>8447.4</v>
      </c>
      <c r="D4" s="67">
        <v>9579.5</v>
      </c>
      <c r="E4" s="67">
        <v>11618.2</v>
      </c>
      <c r="F4" s="67">
        <v>15187.2</v>
      </c>
      <c r="G4" s="67">
        <v>23124.3</v>
      </c>
      <c r="H4" s="67">
        <v>25540.7</v>
      </c>
    </row>
    <row r="5" spans="1:8" x14ac:dyDescent="0.3">
      <c r="A5" s="8" t="s">
        <v>445</v>
      </c>
      <c r="B5" s="37">
        <f t="shared" ref="B5:H5" si="0">B3/B4</f>
        <v>2.4237069583074644E-2</v>
      </c>
      <c r="C5" s="37">
        <f t="shared" si="0"/>
        <v>3.1370599237635251E-2</v>
      </c>
      <c r="D5" s="37">
        <f t="shared" si="0"/>
        <v>6.8792734485098386E-2</v>
      </c>
      <c r="E5" s="37">
        <f t="shared" si="0"/>
        <v>0.12454597097657123</v>
      </c>
      <c r="F5" s="37">
        <f t="shared" si="0"/>
        <v>0.1326775179098188</v>
      </c>
      <c r="G5" s="37">
        <f t="shared" si="0"/>
        <v>0.20791980730227511</v>
      </c>
      <c r="H5" s="37">
        <f t="shared" si="0"/>
        <v>0.14936943779927722</v>
      </c>
    </row>
    <row r="6" spans="1:8" x14ac:dyDescent="0.3">
      <c r="B6" s="37"/>
      <c r="C6" s="37"/>
      <c r="D6" s="37"/>
      <c r="E6" s="37"/>
      <c r="F6" s="37"/>
      <c r="G6" s="37"/>
      <c r="H6" s="37"/>
    </row>
    <row r="7" spans="1:8" x14ac:dyDescent="0.3">
      <c r="A7" s="1" t="s">
        <v>446</v>
      </c>
      <c r="B7" s="1"/>
      <c r="C7" s="1"/>
      <c r="D7" s="1"/>
      <c r="E7" s="1"/>
      <c r="F7" s="1"/>
      <c r="G7" s="1"/>
      <c r="H7" s="1"/>
    </row>
    <row r="8" spans="1:8" x14ac:dyDescent="0.3">
      <c r="A8" s="8" t="s">
        <v>135</v>
      </c>
      <c r="B8" s="39">
        <f>IncomeStatement!E30*IncomeStatement!E41</f>
        <v>353.12659000000002</v>
      </c>
      <c r="C8" s="39">
        <f>IncomeStatement!F30*IncomeStatement!F41</f>
        <v>315.14600999999999</v>
      </c>
      <c r="D8" s="39">
        <f>IncomeStatement!G30*IncomeStatement!G41</f>
        <v>586.95736000000011</v>
      </c>
      <c r="E8" s="39">
        <f>IncomeStatement!H30*IncomeStatement!H41</f>
        <v>1340.8109999999999</v>
      </c>
      <c r="F8" s="39">
        <f>IncomeStatement!I30*IncomeStatement!I41</f>
        <v>1781.8468599999999</v>
      </c>
      <c r="G8" s="39">
        <f>IncomeStatement!J30*IncomeStatement!J41</f>
        <v>2251.0504799999999</v>
      </c>
      <c r="H8" s="39">
        <f>IncomeStatement!K30*IncomeStatement!K41</f>
        <v>2202.4441599999996</v>
      </c>
    </row>
    <row r="9" spans="1:8" x14ac:dyDescent="0.3">
      <c r="A9" s="8" t="s">
        <v>447</v>
      </c>
      <c r="B9" s="67">
        <v>8375.6</v>
      </c>
      <c r="C9" s="67">
        <v>8447.4</v>
      </c>
      <c r="D9" s="67">
        <v>9579.5</v>
      </c>
      <c r="E9" s="67">
        <v>11618.2</v>
      </c>
      <c r="F9" s="67">
        <v>15187.2</v>
      </c>
      <c r="G9" s="67">
        <v>23124.3</v>
      </c>
      <c r="H9" s="67">
        <v>25540.7</v>
      </c>
    </row>
    <row r="10" spans="1:8" x14ac:dyDescent="0.3">
      <c r="A10" s="8" t="s">
        <v>448</v>
      </c>
      <c r="B10" s="37">
        <f t="shared" ref="B10:H10" si="1">B8/B9</f>
        <v>4.2161348440708728E-2</v>
      </c>
      <c r="C10" s="37">
        <f t="shared" si="1"/>
        <v>3.7306864834150154E-2</v>
      </c>
      <c r="D10" s="37">
        <f t="shared" si="1"/>
        <v>6.1272233415105182E-2</v>
      </c>
      <c r="E10" s="37">
        <f t="shared" si="1"/>
        <v>0.11540608700142878</v>
      </c>
      <c r="F10" s="37">
        <f t="shared" si="1"/>
        <v>0.11732556758322797</v>
      </c>
      <c r="G10" s="37">
        <f t="shared" si="1"/>
        <v>9.7345670139204213E-2</v>
      </c>
      <c r="H10" s="37">
        <f t="shared" si="1"/>
        <v>8.6232725023198245E-2</v>
      </c>
    </row>
    <row r="12" spans="1:8" x14ac:dyDescent="0.3">
      <c r="A12" s="1" t="s">
        <v>449</v>
      </c>
      <c r="B12" s="1"/>
      <c r="C12" s="1"/>
      <c r="D12" s="1"/>
      <c r="E12" s="1"/>
      <c r="F12" s="1"/>
      <c r="G12" s="1"/>
      <c r="H12" s="1"/>
    </row>
    <row r="13" spans="1:8" x14ac:dyDescent="0.3">
      <c r="A13" s="8" t="s">
        <v>450</v>
      </c>
      <c r="B13" s="8">
        <f>IncomeStatement!E15-IncomeStatement!E21</f>
        <v>973.69999999999993</v>
      </c>
      <c r="C13" s="8">
        <f>IncomeStatement!F15-IncomeStatement!F21</f>
        <v>686.3</v>
      </c>
      <c r="D13" s="8">
        <f>IncomeStatement!G15-IncomeStatement!G21</f>
        <v>1162.7</v>
      </c>
      <c r="E13" s="8">
        <f>IncomeStatement!H15-IncomeStatement!H21</f>
        <v>2245.8000000000002</v>
      </c>
      <c r="F13" s="8">
        <f>IncomeStatement!I15-IncomeStatement!I21</f>
        <v>3035.7999999999997</v>
      </c>
      <c r="G13" s="8">
        <f>IncomeStatement!J15-IncomeStatement!J21</f>
        <v>3870.9</v>
      </c>
      <c r="H13" s="8">
        <f>IncomeStatement!K15-IncomeStatement!K21</f>
        <v>3853.2</v>
      </c>
    </row>
    <row r="14" spans="1:8" x14ac:dyDescent="0.3">
      <c r="A14" s="8" t="s">
        <v>444</v>
      </c>
      <c r="B14" s="67">
        <v>8375.6</v>
      </c>
      <c r="C14" s="67">
        <v>8447.4</v>
      </c>
      <c r="D14" s="67">
        <v>9579.5</v>
      </c>
      <c r="E14" s="67">
        <v>11618.2</v>
      </c>
      <c r="F14" s="67">
        <v>15187.2</v>
      </c>
      <c r="G14" s="67">
        <v>23124.3</v>
      </c>
      <c r="H14" s="67">
        <v>25540.7</v>
      </c>
    </row>
    <row r="15" spans="1:8" x14ac:dyDescent="0.3">
      <c r="A15" s="8" t="s">
        <v>451</v>
      </c>
      <c r="B15" s="37">
        <f t="shared" ref="B15:H15" si="2">B13/B14</f>
        <v>0.11625435789674768</v>
      </c>
      <c r="C15" s="37">
        <f t="shared" si="2"/>
        <v>8.1243933044487057E-2</v>
      </c>
      <c r="D15" s="37">
        <f t="shared" si="2"/>
        <v>0.12137376689806358</v>
      </c>
      <c r="E15" s="37">
        <f t="shared" si="2"/>
        <v>0.19330016697939439</v>
      </c>
      <c r="F15" s="37">
        <f t="shared" si="2"/>
        <v>0.199892014327855</v>
      </c>
      <c r="G15" s="37">
        <f t="shared" si="2"/>
        <v>0.16739533737237453</v>
      </c>
      <c r="H15" s="37">
        <f t="shared" si="2"/>
        <v>0.15086508983700525</v>
      </c>
    </row>
    <row r="17" spans="1:10" x14ac:dyDescent="0.3">
      <c r="A17" s="1" t="s">
        <v>452</v>
      </c>
      <c r="B17" s="1"/>
      <c r="C17" s="1"/>
      <c r="D17" s="1"/>
      <c r="E17" s="1"/>
      <c r="F17" s="1"/>
      <c r="G17" s="1"/>
      <c r="H17" s="1"/>
    </row>
    <row r="18" spans="1:10" x14ac:dyDescent="0.3">
      <c r="A18" s="8" t="s">
        <v>453</v>
      </c>
      <c r="B18" s="8">
        <v>20457</v>
      </c>
      <c r="C18" s="8">
        <v>26466</v>
      </c>
      <c r="D18" s="8">
        <v>38467</v>
      </c>
      <c r="E18" s="8">
        <v>85908</v>
      </c>
      <c r="F18" s="8">
        <v>160698</v>
      </c>
      <c r="G18" s="8">
        <v>215909</v>
      </c>
      <c r="H18" s="8">
        <v>170856</v>
      </c>
    </row>
    <row r="19" spans="1:10" x14ac:dyDescent="0.3">
      <c r="A19" s="8" t="s">
        <v>454</v>
      </c>
      <c r="B19" s="8">
        <v>3417.2</v>
      </c>
      <c r="C19" s="8">
        <v>3216.1</v>
      </c>
      <c r="D19" s="8">
        <v>3386.8</v>
      </c>
      <c r="E19" s="8">
        <v>3883.8</v>
      </c>
      <c r="F19" s="8">
        <v>5431.3</v>
      </c>
      <c r="G19" s="8">
        <v>2826.3</v>
      </c>
      <c r="H19" s="8">
        <v>2508.1999999999998</v>
      </c>
    </row>
    <row r="20" spans="1:10" x14ac:dyDescent="0.3">
      <c r="A20" s="8" t="s">
        <v>455</v>
      </c>
      <c r="B20" s="37">
        <f t="shared" ref="B20:H20" si="3">B18/B19</f>
        <v>5.986480159194663</v>
      </c>
      <c r="C20" s="37">
        <f t="shared" si="3"/>
        <v>8.2292217281800948</v>
      </c>
      <c r="D20" s="37">
        <f t="shared" si="3"/>
        <v>11.357918979567733</v>
      </c>
      <c r="E20" s="37">
        <f t="shared" si="3"/>
        <v>22.119573613471342</v>
      </c>
      <c r="F20" s="37">
        <f t="shared" si="3"/>
        <v>29.587391600537625</v>
      </c>
      <c r="G20" s="37">
        <f t="shared" si="3"/>
        <v>76.392810388139964</v>
      </c>
      <c r="H20" s="37">
        <f t="shared" si="3"/>
        <v>68.11896977912447</v>
      </c>
    </row>
    <row r="22" spans="1:10" ht="15" customHeight="1" x14ac:dyDescent="0.3">
      <c r="A22" s="1" t="s">
        <v>456</v>
      </c>
      <c r="B22" s="1"/>
      <c r="C22" s="1"/>
      <c r="D22" s="1"/>
      <c r="E22" s="1"/>
      <c r="F22" s="1"/>
      <c r="G22" s="1"/>
      <c r="H22" s="1"/>
    </row>
    <row r="23" spans="1:10" x14ac:dyDescent="0.3">
      <c r="A23" s="8" t="s">
        <v>48</v>
      </c>
      <c r="B23" s="50">
        <v>7130</v>
      </c>
      <c r="C23" s="50">
        <v>6450</v>
      </c>
      <c r="D23" s="50">
        <v>8823</v>
      </c>
      <c r="E23" s="50">
        <v>13173</v>
      </c>
      <c r="F23" s="50">
        <v>16043</v>
      </c>
      <c r="G23" s="50">
        <v>20008</v>
      </c>
      <c r="H23" s="50">
        <v>21685</v>
      </c>
      <c r="I23" s="50"/>
      <c r="J23" s="50"/>
    </row>
    <row r="24" spans="1:10" x14ac:dyDescent="0.3">
      <c r="A24" s="8" t="s">
        <v>444</v>
      </c>
      <c r="B24" s="67">
        <v>8375.6</v>
      </c>
      <c r="C24" s="67">
        <v>8447.4</v>
      </c>
      <c r="D24" s="67">
        <v>9579.5</v>
      </c>
      <c r="E24" s="67">
        <v>11618.2</v>
      </c>
      <c r="F24" s="67">
        <v>15187.2</v>
      </c>
      <c r="G24" s="67">
        <v>23124.3</v>
      </c>
      <c r="H24" s="67">
        <v>25540.7</v>
      </c>
    </row>
    <row r="25" spans="1:10" x14ac:dyDescent="0.3">
      <c r="A25" s="8" t="s">
        <v>457</v>
      </c>
      <c r="B25" s="37">
        <f t="shared" ref="B25:H25" si="4">B23/B24</f>
        <v>0.85128229619370543</v>
      </c>
      <c r="C25" s="37">
        <f t="shared" si="4"/>
        <v>0.76354854748206558</v>
      </c>
      <c r="D25" s="37">
        <f t="shared" si="4"/>
        <v>0.92102928127772843</v>
      </c>
      <c r="E25" s="37">
        <f t="shared" si="4"/>
        <v>1.1338245167065466</v>
      </c>
      <c r="F25" s="37">
        <f t="shared" si="4"/>
        <v>1.0563500842815001</v>
      </c>
      <c r="G25" s="37">
        <f t="shared" si="4"/>
        <v>0.86523700176870222</v>
      </c>
      <c r="H25" s="37">
        <f t="shared" si="4"/>
        <v>0.84903702717623242</v>
      </c>
    </row>
    <row r="27" spans="1:10" x14ac:dyDescent="0.3">
      <c r="A27" s="1" t="s">
        <v>458</v>
      </c>
      <c r="B27" s="1"/>
      <c r="C27" s="1"/>
      <c r="D27" s="1"/>
      <c r="E27" s="1"/>
      <c r="F27" s="1"/>
      <c r="G27" s="1"/>
      <c r="H27" s="1"/>
    </row>
    <row r="28" spans="1:10" x14ac:dyDescent="0.3">
      <c r="A28" s="8" t="s">
        <v>459</v>
      </c>
      <c r="B28" s="39">
        <f t="shared" ref="B28:H28" si="5">(1.2*B5)+(1.4*B10)+(3.3*B15)+(0.6*B20)+(1*B25)</f>
        <v>4.9149201440864516</v>
      </c>
      <c r="C28" s="39">
        <f t="shared" si="5"/>
        <v>6.0590608932899013</v>
      </c>
      <c r="D28" s="39">
        <f t="shared" si="5"/>
        <v>8.3046465079452432</v>
      </c>
      <c r="E28" s="39">
        <f t="shared" si="5"/>
        <v>15.354482922795238</v>
      </c>
      <c r="F28" s="39">
        <f t="shared" si="5"/>
        <v>19.7918975079943</v>
      </c>
      <c r="G28" s="39">
        <f t="shared" si="5"/>
        <v>47.639115554939139</v>
      </c>
      <c r="H28" s="39">
        <f t="shared" si="5"/>
        <v>42.518242831504637</v>
      </c>
    </row>
    <row r="29" spans="1:10" x14ac:dyDescent="0.3">
      <c r="A29" s="8" t="s">
        <v>460</v>
      </c>
    </row>
  </sheetData>
  <mergeCells count="6">
    <mergeCell ref="A27:H27"/>
    <mergeCell ref="A2:H2"/>
    <mergeCell ref="A7:H7"/>
    <mergeCell ref="A12:H12"/>
    <mergeCell ref="A17:H17"/>
    <mergeCell ref="A22:H22"/>
  </mergeCells>
  <pageMargins left="0.7" right="0.7" top="0.75" bottom="0.75"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16</vt:i4>
      </vt:variant>
    </vt:vector>
  </HeadingPairs>
  <TitlesOfParts>
    <vt:vector size="16" baseType="lpstr">
      <vt:lpstr>Cover</vt:lpstr>
      <vt:lpstr>Assumptions</vt:lpstr>
      <vt:lpstr>Income Statement Working</vt:lpstr>
      <vt:lpstr>Free Cash Flow Build</vt:lpstr>
      <vt:lpstr>Sensitivity Analysis</vt:lpstr>
      <vt:lpstr>Net Working Capital</vt:lpstr>
      <vt:lpstr>Ratios</vt:lpstr>
      <vt:lpstr>DuPont Analysis</vt:lpstr>
      <vt:lpstr>BalanceSheet</vt:lpstr>
      <vt:lpstr>BS</vt:lpstr>
      <vt:lpstr>Commonsize BS</vt:lpstr>
      <vt:lpstr>Income Statement</vt:lpstr>
      <vt:lpstr>IncomeStatement</vt:lpstr>
      <vt:lpstr>Commonsize IS</vt:lpstr>
      <vt:lpstr>Cash Flow Statement</vt:lpstr>
      <vt:lpstr>Altman's Z Score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BHAVOOK</dc:creator>
  <dc:description/>
  <cp:lastModifiedBy>BHAVOOK</cp:lastModifiedBy>
  <cp:revision>0</cp:revision>
  <dcterms:created xsi:type="dcterms:W3CDTF">2026-05-11T13:10:13Z</dcterms:created>
  <dcterms:modified xsi:type="dcterms:W3CDTF">2026-09-23T10:02:33Z</dcterms:modified>
  <dc:language>en-US</dc:language>
</cp:coreProperties>
</file>